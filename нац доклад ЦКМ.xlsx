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23" i="1" l="1"/>
  <c r="AS23" i="1"/>
  <c r="AT23" i="1"/>
  <c r="AU23" i="1"/>
  <c r="AV23" i="1"/>
  <c r="AW23" i="1"/>
  <c r="AQ23" i="1"/>
  <c r="AD23" i="1"/>
  <c r="AE23" i="1"/>
  <c r="AF23" i="1"/>
  <c r="AG23" i="1"/>
  <c r="AH23" i="1"/>
  <c r="X23" i="1"/>
  <c r="Y23" i="1"/>
  <c r="Z23" i="1"/>
  <c r="AA23" i="1"/>
  <c r="AB23" i="1"/>
  <c r="S23" i="1"/>
  <c r="T23" i="1"/>
  <c r="U23" i="1"/>
  <c r="V23" i="1"/>
  <c r="W23" i="1"/>
  <c r="N23" i="1"/>
  <c r="O23" i="1"/>
  <c r="P23" i="1"/>
  <c r="Q23" i="1"/>
  <c r="R23" i="1"/>
  <c r="H23" i="1"/>
  <c r="G23" i="1"/>
  <c r="F23" i="1"/>
  <c r="E23" i="1"/>
  <c r="D23" i="1"/>
  <c r="C23" i="1"/>
  <c r="B23" i="1"/>
</calcChain>
</file>

<file path=xl/sharedStrings.xml><?xml version="1.0" encoding="utf-8"?>
<sst xmlns="http://schemas.openxmlformats.org/spreadsheetml/2006/main" count="111" uniqueCount="93">
  <si>
    <t>Темп прироста, 2024 г. к 2020 г., в %</t>
  </si>
  <si>
    <t>г. Астана</t>
  </si>
  <si>
    <t>г. Алматы</t>
  </si>
  <si>
    <t>г.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</si>
  <si>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</si>
  <si>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</si>
  <si>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</si>
  <si>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</si>
  <si>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</si>
  <si>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</si>
  <si>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</si>
  <si>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</si>
  <si>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</si>
  <si>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</si>
  <si>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</si>
  <si>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Область Абай</t>
  </si>
  <si>
    <t>Область Жетісу</t>
  </si>
  <si>
    <t>Область Ұлытау</t>
  </si>
  <si>
    <t>Павлодарская область</t>
  </si>
  <si>
    <t>Северо-Казахстанская область</t>
  </si>
  <si>
    <t>Туркестанская область</t>
  </si>
  <si>
    <t xml:space="preserve"> Доля рождений в регионах в общем числе рождений, в %</t>
  </si>
  <si>
    <t>Смертность молодежи в регионах, на 1000 чел</t>
  </si>
  <si>
    <t>Республика Казахстан</t>
  </si>
  <si>
    <t>Сальдо внешней миграции в разрезе регионов, чел.</t>
  </si>
  <si>
    <t>Сальдо межрегиональной миграции молодежи, чел.</t>
  </si>
  <si>
    <t>Доля молодых мужчин, расторгнувших брак в разрезе регионов, в %</t>
  </si>
  <si>
    <t>Доля молодых женщин, расторгнувших брак в разрезе регионов, в %</t>
  </si>
  <si>
    <t>Доля прироста в разрезе регионов, 2024г., в %</t>
  </si>
  <si>
    <t>Уровень молодежной безработицы (в возрасте 15-34 лет), %</t>
  </si>
  <si>
    <t>-</t>
  </si>
  <si>
    <t>Доля молодежи в статусе NEET (15 – 34 лет) по регионам Казахстана, 2024 г.</t>
  </si>
  <si>
    <t>Доступ к интернету</t>
  </si>
  <si>
    <t>Очень плохо</t>
  </si>
  <si>
    <t>Отлично</t>
  </si>
  <si>
    <t>Затрудняюсь ответить</t>
  </si>
  <si>
    <t>Общая численность иногородних студентов</t>
  </si>
  <si>
    <t>51 857</t>
  </si>
  <si>
    <t>123 495</t>
  </si>
  <si>
    <t>28 507</t>
  </si>
  <si>
    <t>8 590</t>
  </si>
  <si>
    <t>10 871</t>
  </si>
  <si>
    <t>7 885</t>
  </si>
  <si>
    <t>4 358</t>
  </si>
  <si>
    <t>6 333</t>
  </si>
  <si>
    <t>7 475</t>
  </si>
  <si>
    <t>13 640</t>
  </si>
  <si>
    <t>23 453</t>
  </si>
  <si>
    <t>12 926</t>
  </si>
  <si>
    <t>4 175</t>
  </si>
  <si>
    <t>4 297</t>
  </si>
  <si>
    <t>6 045</t>
  </si>
  <si>
    <t>2 813</t>
  </si>
  <si>
    <t>7 821</t>
  </si>
  <si>
    <t>4 028</t>
  </si>
  <si>
    <t>6 681</t>
  </si>
  <si>
    <t>Численность студентов, нуждающихся в общежитии</t>
  </si>
  <si>
    <t>335 385</t>
  </si>
  <si>
    <t>24 417</t>
  </si>
  <si>
    <t>57 690</t>
  </si>
  <si>
    <t>3 441</t>
  </si>
  <si>
    <t>2 717</t>
  </si>
  <si>
    <t>7 601</t>
  </si>
  <si>
    <t>1 144</t>
  </si>
  <si>
    <t>2 178</t>
  </si>
  <si>
    <t>1 326</t>
  </si>
  <si>
    <t>2 239</t>
  </si>
  <si>
    <t>8 708</t>
  </si>
  <si>
    <t>4 058</t>
  </si>
  <si>
    <t>1 316</t>
  </si>
  <si>
    <t>3 347</t>
  </si>
  <si>
    <t>2 140</t>
  </si>
  <si>
    <t>2 770</t>
  </si>
  <si>
    <t>3 910</t>
  </si>
  <si>
    <t>131 355</t>
  </si>
  <si>
    <t>из них проживающих в общежитии</t>
  </si>
  <si>
    <t>19 393</t>
  </si>
  <si>
    <t>34 812</t>
  </si>
  <si>
    <t>2 833</t>
  </si>
  <si>
    <t>2 377</t>
  </si>
  <si>
    <t>3 828</t>
  </si>
  <si>
    <t>1 140</t>
  </si>
  <si>
    <t>1 040</t>
  </si>
  <si>
    <t>2 237</t>
  </si>
  <si>
    <t>3 376</t>
  </si>
  <si>
    <t>2 312</t>
  </si>
  <si>
    <t>2 071</t>
  </si>
  <si>
    <t>1 972</t>
  </si>
  <si>
    <t>95 856</t>
  </si>
  <si>
    <t>I полугодие 2025</t>
  </si>
  <si>
    <t>Зарегистрированные уголовные правонарушения за 2020-2025 гг.</t>
  </si>
  <si>
    <t>8,3 </t>
  </si>
  <si>
    <t>4179 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</si>
</sst>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</font>
    <font>
      <sz val="10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8"/>
      <color theme="1"/>
      <name val="Roboto"/>
    </font>
    <font>
      <b/>
      <sz val="11"/>
      <color rgb="FF000000"/>
      <name val="Arial"/>
    </font>
    <font>
      <b/>
      <sz val="10"/>
      <color theme="1"/>
      <name val="Arial"/>
      <family val="2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2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" fontId="9" fillId="0" borderId="9" xfId="0" applyNumberFormat="1" applyFont="1" applyBorder="1" applyAlignment="1">
      <alignment horizontal="center"/>
    </xf>
    <xf numFmtId="0" fontId="10" fillId="0" borderId="8" xfId="0" applyFont="1" applyBorder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left" wrapText="1"/>
    </xf>
    <xf numFmtId="0" fontId="13" fillId="0" borderId="8" xfId="0" applyFont="1" applyBorder="1" applyAlignment="1">
      <alignment horizontal="left" wrapText="1"/>
    </xf>
    <xf numFmtId="16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left" vertical="center" wrapText="1"/>
    </xf>
    <xf numFmtId="2" fontId="5" fillId="2" borderId="1" xfId="0" applyNumberFormat="1" applyFont="1" applyFill="1" applyBorder="1" applyAlignment="1">
      <alignment horizontal="left" vertical="center" wrapText="1"/>
    </xf>
    <xf numFmtId="2" fontId="13" fillId="2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64" fontId="13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164" fontId="13" fillId="0" borderId="1" xfId="0" applyNumberFormat="1" applyFont="1" applyBorder="1" applyAlignment="1">
      <alignment horizontal="left" wrapText="1"/>
    </xf>
    <xf numFmtId="165" fontId="5" fillId="0" borderId="8" xfId="0" applyNumberFormat="1" applyFont="1" applyBorder="1" applyAlignment="1">
      <alignment horizontal="left"/>
    </xf>
    <xf numFmtId="2" fontId="13" fillId="0" borderId="1" xfId="0" applyNumberFormat="1" applyFont="1" applyBorder="1" applyAlignment="1">
      <alignment horizontal="left" vertical="center" wrapText="1"/>
    </xf>
    <xf numFmtId="165" fontId="5" fillId="0" borderId="8" xfId="0" applyNumberFormat="1" applyFont="1" applyBorder="1" applyAlignment="1">
      <alignment horizontal="left" wrapText="1"/>
    </xf>
    <xf numFmtId="164" fontId="5" fillId="0" borderId="1" xfId="0" applyNumberFormat="1" applyFont="1" applyBorder="1" applyAlignment="1">
      <alignment horizontal="left" wrapText="1"/>
    </xf>
    <xf numFmtId="164" fontId="5" fillId="0" borderId="1" xfId="1" applyNumberFormat="1" applyFont="1" applyBorder="1" applyAlignment="1">
      <alignment horizontal="left" vertical="center" wrapText="1"/>
    </xf>
    <xf numFmtId="164" fontId="5" fillId="0" borderId="1" xfId="1" applyNumberFormat="1" applyFont="1" applyBorder="1" applyAlignment="1">
      <alignment horizontal="left" wrapText="1"/>
    </xf>
    <xf numFmtId="164" fontId="5" fillId="0" borderId="1" xfId="1" applyNumberFormat="1" applyFont="1" applyFill="1" applyBorder="1" applyAlignment="1">
      <alignment horizontal="left" wrapText="1"/>
    </xf>
    <xf numFmtId="0" fontId="13" fillId="0" borderId="1" xfId="0" applyFont="1" applyBorder="1" applyAlignment="1">
      <alignment horizontal="left" vertical="center" wrapText="1"/>
    </xf>
    <xf numFmtId="165" fontId="2" fillId="0" borderId="8" xfId="0" applyNumberFormat="1" applyFont="1" applyBorder="1" applyAlignment="1">
      <alignment horizontal="left"/>
    </xf>
    <xf numFmtId="0" fontId="12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left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3"/>
  <sheetViews>
    <sheetView tabSelected="1" workbookViewId="0">
      <selection activeCell="AV26" sqref="AV26"/>
    </sheetView>
  </sheetViews>
  <sheetFormatPr defaultRowHeight="15"/>
  <cols>
    <col min="1" max="1" width="26.7109375" customWidth="1"/>
    <col min="2" max="2" width="12" customWidth="1"/>
    <col min="3" max="3" width="12.85546875" customWidth="1"/>
    <col min="4" max="4" width="12.140625" customWidth="1"/>
    <col min="28" max="28" width="9" customWidth="1"/>
    <col min="29" max="29" width="9.140625" hidden="1" customWidth="1"/>
    <col min="35" max="35" width="0.28515625" customWidth="1"/>
    <col min="36" max="36" width="9.140625" hidden="1" customWidth="1"/>
    <col min="43" max="43" width="14.140625" customWidth="1"/>
    <col min="48" max="48" width="11.28515625" customWidth="1"/>
    <col min="49" max="49" width="10.7109375" customWidth="1"/>
    <col min="50" max="50" width="13.42578125" customWidth="1"/>
    <col min="51" max="51" width="13.28515625" customWidth="1"/>
    <col min="52" max="52" width="14.85546875" customWidth="1"/>
  </cols>
  <sheetData>
    <row r="1" spans="1:58" ht="105.75" customHeight="1" thickBot="1">
      <c r="A1" s="7"/>
      <c r="B1" s="8" t="s">
        <v>0</v>
      </c>
      <c r="C1" s="8" t="s">
        <v>28</v>
      </c>
      <c r="D1" s="46" t="s">
        <v>21</v>
      </c>
      <c r="E1" s="47"/>
      <c r="F1" s="47"/>
      <c r="G1" s="47"/>
      <c r="H1" s="47"/>
      <c r="I1" s="48" t="s">
        <v>22</v>
      </c>
      <c r="J1" s="48"/>
      <c r="K1" s="48"/>
      <c r="L1" s="48"/>
      <c r="M1" s="48"/>
      <c r="N1" s="44" t="s">
        <v>24</v>
      </c>
      <c r="O1" s="44"/>
      <c r="P1" s="44"/>
      <c r="Q1" s="44"/>
      <c r="R1" s="44"/>
      <c r="S1" s="49" t="s">
        <v>25</v>
      </c>
      <c r="T1" s="49"/>
      <c r="U1" s="49"/>
      <c r="V1" s="49"/>
      <c r="W1" s="49"/>
      <c r="X1" s="50" t="s">
        <v>26</v>
      </c>
      <c r="Y1" s="50"/>
      <c r="Z1" s="50"/>
      <c r="AA1" s="50"/>
      <c r="AB1" s="50"/>
      <c r="AC1" s="50"/>
      <c r="AD1" s="44" t="s">
        <v>27</v>
      </c>
      <c r="AE1" s="44"/>
      <c r="AF1" s="44"/>
      <c r="AG1" s="44"/>
      <c r="AH1" s="44"/>
      <c r="AI1" s="12"/>
      <c r="AJ1" s="12"/>
      <c r="AK1" s="45" t="s">
        <v>29</v>
      </c>
      <c r="AL1" s="45"/>
      <c r="AM1" s="45"/>
      <c r="AN1" s="45"/>
      <c r="AO1" s="45"/>
      <c r="AP1" s="45"/>
      <c r="AQ1" s="13" t="s">
        <v>31</v>
      </c>
      <c r="AR1" s="40" t="s">
        <v>32</v>
      </c>
      <c r="AS1" s="41"/>
      <c r="AT1" s="41"/>
      <c r="AU1" s="41"/>
      <c r="AV1" s="41"/>
      <c r="AW1" s="42"/>
      <c r="AX1" s="17" t="s">
        <v>36</v>
      </c>
      <c r="AY1" s="17" t="s">
        <v>56</v>
      </c>
      <c r="AZ1" s="17" t="s">
        <v>75</v>
      </c>
      <c r="BA1" s="43" t="s">
        <v>90</v>
      </c>
      <c r="BB1" s="44"/>
      <c r="BC1" s="44"/>
      <c r="BD1" s="44"/>
      <c r="BE1" s="44"/>
      <c r="BF1" s="44"/>
    </row>
    <row r="2" spans="1:58" ht="45.75" thickBot="1">
      <c r="A2" s="1"/>
      <c r="B2" s="2"/>
      <c r="C2" s="2"/>
      <c r="D2" s="9">
        <v>2020</v>
      </c>
      <c r="E2" s="9">
        <v>2021</v>
      </c>
      <c r="F2" s="9">
        <v>2022</v>
      </c>
      <c r="G2" s="9">
        <v>2023</v>
      </c>
      <c r="H2" s="9">
        <v>2024</v>
      </c>
      <c r="I2" s="5">
        <v>2020</v>
      </c>
      <c r="J2" s="5">
        <v>2021</v>
      </c>
      <c r="K2" s="5">
        <v>2022</v>
      </c>
      <c r="L2" s="5">
        <v>2023</v>
      </c>
      <c r="M2" s="5">
        <v>2024</v>
      </c>
      <c r="N2" s="10">
        <v>2020</v>
      </c>
      <c r="O2" s="10">
        <v>2021</v>
      </c>
      <c r="P2" s="10">
        <v>2022</v>
      </c>
      <c r="Q2" s="10">
        <v>2023</v>
      </c>
      <c r="R2" s="10">
        <v>2024</v>
      </c>
      <c r="S2" s="4">
        <v>2020</v>
      </c>
      <c r="T2" s="4">
        <v>2021</v>
      </c>
      <c r="U2" s="4">
        <v>2022</v>
      </c>
      <c r="V2" s="4">
        <v>2023</v>
      </c>
      <c r="W2" s="4">
        <v>2024</v>
      </c>
      <c r="X2" s="11">
        <v>2020</v>
      </c>
      <c r="Y2" s="11">
        <v>2021</v>
      </c>
      <c r="Z2" s="11">
        <v>2022</v>
      </c>
      <c r="AA2" s="11">
        <v>2023</v>
      </c>
      <c r="AB2" s="11">
        <v>2024</v>
      </c>
      <c r="AD2" s="11">
        <v>2020</v>
      </c>
      <c r="AE2" s="11">
        <v>2021</v>
      </c>
      <c r="AF2" s="11">
        <v>2022</v>
      </c>
      <c r="AG2" s="11">
        <v>2023</v>
      </c>
      <c r="AH2" s="11">
        <v>2024</v>
      </c>
      <c r="AK2" s="14">
        <v>2019</v>
      </c>
      <c r="AL2" s="14">
        <v>2020</v>
      </c>
      <c r="AM2" s="14">
        <v>2021</v>
      </c>
      <c r="AN2" s="14">
        <v>2022</v>
      </c>
      <c r="AO2" s="14">
        <v>2023</v>
      </c>
      <c r="AP2" s="14">
        <v>2024</v>
      </c>
      <c r="AQ2" s="14">
        <v>2024</v>
      </c>
      <c r="AR2" s="15" t="s">
        <v>33</v>
      </c>
      <c r="AS2" s="15">
        <v>2</v>
      </c>
      <c r="AT2" s="15">
        <v>3</v>
      </c>
      <c r="AU2" s="15">
        <v>4</v>
      </c>
      <c r="AV2" s="15" t="s">
        <v>34</v>
      </c>
      <c r="AW2" s="15" t="s">
        <v>35</v>
      </c>
      <c r="BA2" s="16">
        <v>2020</v>
      </c>
      <c r="BB2" s="16">
        <v>2021</v>
      </c>
      <c r="BC2" s="16">
        <v>2022</v>
      </c>
      <c r="BD2" s="16">
        <v>2023</v>
      </c>
      <c r="BE2" s="16">
        <v>2024</v>
      </c>
      <c r="BF2" s="16" t="s">
        <v>89</v>
      </c>
    </row>
    <row r="3" spans="1:58" ht="15.75" thickBot="1">
      <c r="A3" s="3" t="s">
        <v>1</v>
      </c>
      <c r="B3" s="20">
        <v>29.254311339641788</v>
      </c>
      <c r="C3" s="20">
        <v>8.2792149469026999</v>
      </c>
      <c r="D3" s="21">
        <v>6.8</v>
      </c>
      <c r="E3" s="21">
        <v>6.8</v>
      </c>
      <c r="F3" s="21">
        <v>7.3</v>
      </c>
      <c r="G3" s="21">
        <v>7.3</v>
      </c>
      <c r="H3" s="21">
        <v>7.6</v>
      </c>
      <c r="I3" s="22">
        <v>0.78</v>
      </c>
      <c r="J3" s="22">
        <v>0.73</v>
      </c>
      <c r="K3" s="22">
        <v>0.56999999999999995</v>
      </c>
      <c r="L3" s="23">
        <v>0.59</v>
      </c>
      <c r="M3" s="24">
        <v>0.57999999999999996</v>
      </c>
      <c r="N3" s="25">
        <v>-120</v>
      </c>
      <c r="O3" s="25">
        <v>-169</v>
      </c>
      <c r="P3" s="25">
        <v>308</v>
      </c>
      <c r="Q3" s="25">
        <v>970</v>
      </c>
      <c r="R3" s="25">
        <v>1607</v>
      </c>
      <c r="S3" s="26">
        <v>11892</v>
      </c>
      <c r="T3" s="26">
        <v>19119</v>
      </c>
      <c r="U3" s="26">
        <v>21114</v>
      </c>
      <c r="V3" s="26">
        <v>22326</v>
      </c>
      <c r="W3" s="26">
        <v>31139</v>
      </c>
      <c r="X3" s="27">
        <v>8.928487248385423</v>
      </c>
      <c r="Y3" s="27">
        <v>9.0649836372136505</v>
      </c>
      <c r="Z3" s="27">
        <v>9.7793950420741425</v>
      </c>
      <c r="AA3" s="27">
        <v>8.5672727272727283</v>
      </c>
      <c r="AB3" s="28">
        <v>8.3301573474165629</v>
      </c>
      <c r="AC3" s="29"/>
      <c r="AD3" s="30">
        <v>8.8462553239606496</v>
      </c>
      <c r="AE3" s="30">
        <v>9.1042418772563174</v>
      </c>
      <c r="AF3" s="30">
        <v>9.616237799467612</v>
      </c>
      <c r="AG3" s="30">
        <v>8.3333333333333321</v>
      </c>
      <c r="AH3" s="30">
        <v>8.2729681978798588</v>
      </c>
      <c r="AI3" s="29"/>
      <c r="AJ3" s="29"/>
      <c r="AK3" s="31">
        <v>4.5</v>
      </c>
      <c r="AL3" s="31">
        <v>4.5999999999999996</v>
      </c>
      <c r="AM3" s="31">
        <v>4.5999999999999996</v>
      </c>
      <c r="AN3" s="31">
        <v>4.5999999999999996</v>
      </c>
      <c r="AO3" s="31">
        <v>4</v>
      </c>
      <c r="AP3" s="31">
        <v>3.9</v>
      </c>
      <c r="AQ3" s="29">
        <v>6.2</v>
      </c>
      <c r="AR3" s="19">
        <v>6.9</v>
      </c>
      <c r="AS3" s="19">
        <v>5</v>
      </c>
      <c r="AT3" s="19">
        <v>34</v>
      </c>
      <c r="AU3" s="19">
        <v>29.6</v>
      </c>
      <c r="AV3" s="19">
        <v>13.8</v>
      </c>
      <c r="AW3" s="19">
        <v>10.7</v>
      </c>
      <c r="AX3" s="18" t="s">
        <v>37</v>
      </c>
      <c r="AY3" s="18" t="s">
        <v>58</v>
      </c>
      <c r="AZ3" s="18" t="s">
        <v>76</v>
      </c>
      <c r="BA3" s="21">
        <v>13648</v>
      </c>
      <c r="BB3" s="21">
        <v>15693</v>
      </c>
      <c r="BC3" s="21">
        <v>17144</v>
      </c>
      <c r="BD3" s="21">
        <v>18041</v>
      </c>
      <c r="BE3" s="21">
        <v>17339</v>
      </c>
      <c r="BF3" s="21">
        <v>8325</v>
      </c>
    </row>
    <row r="4" spans="1:58" ht="13.5" customHeight="1" thickBot="1">
      <c r="A4" s="3" t="s">
        <v>2</v>
      </c>
      <c r="B4" s="20">
        <v>5.9182471853979735</v>
      </c>
      <c r="C4" s="20">
        <v>12.245598889801677</v>
      </c>
      <c r="D4" s="21">
        <v>8.1</v>
      </c>
      <c r="E4" s="21">
        <v>8.3000000000000007</v>
      </c>
      <c r="F4" s="21">
        <v>8.6999999999999993</v>
      </c>
      <c r="G4" s="21">
        <v>8.9</v>
      </c>
      <c r="H4" s="21">
        <v>9.1</v>
      </c>
      <c r="I4" s="22">
        <v>0.63</v>
      </c>
      <c r="J4" s="22">
        <v>0.61</v>
      </c>
      <c r="K4" s="22">
        <v>0.56000000000000005</v>
      </c>
      <c r="L4" s="22">
        <v>0.56000000000000005</v>
      </c>
      <c r="M4" s="32">
        <v>0.47</v>
      </c>
      <c r="N4" s="25">
        <v>-47</v>
      </c>
      <c r="O4" s="25">
        <v>-55</v>
      </c>
      <c r="P4" s="25">
        <v>880</v>
      </c>
      <c r="Q4" s="25">
        <v>2560</v>
      </c>
      <c r="R4" s="25">
        <v>2640</v>
      </c>
      <c r="S4" s="26">
        <v>20801</v>
      </c>
      <c r="T4" s="26">
        <v>19334</v>
      </c>
      <c r="U4" s="26">
        <v>23960</v>
      </c>
      <c r="V4" s="26">
        <v>19246</v>
      </c>
      <c r="W4" s="26">
        <v>21360</v>
      </c>
      <c r="X4" s="27">
        <v>10.177721208692784</v>
      </c>
      <c r="Y4" s="27">
        <v>9.8550724637681171</v>
      </c>
      <c r="Z4" s="27">
        <v>11.521491926313395</v>
      </c>
      <c r="AA4" s="27">
        <v>10.414545454545454</v>
      </c>
      <c r="AB4" s="28">
        <v>8.6078292589971142</v>
      </c>
      <c r="AC4" s="29"/>
      <c r="AD4" s="30">
        <v>10.026007312200822</v>
      </c>
      <c r="AE4" s="30">
        <v>9.9766847172081832</v>
      </c>
      <c r="AF4" s="30">
        <v>11.701419698314108</v>
      </c>
      <c r="AG4" s="30">
        <v>10.535976505139502</v>
      </c>
      <c r="AH4" s="30">
        <v>8.436395759717314</v>
      </c>
      <c r="AI4" s="29"/>
      <c r="AJ4" s="29"/>
      <c r="AK4" s="31">
        <v>6.1</v>
      </c>
      <c r="AL4" s="31">
        <v>5.9</v>
      </c>
      <c r="AM4" s="31">
        <v>5.8</v>
      </c>
      <c r="AN4" s="31">
        <v>5.5</v>
      </c>
      <c r="AO4" s="31">
        <v>5.2</v>
      </c>
      <c r="AP4" s="31">
        <v>4.4000000000000004</v>
      </c>
      <c r="AQ4" s="29">
        <v>6.4</v>
      </c>
      <c r="AR4" s="19">
        <v>3.4</v>
      </c>
      <c r="AS4" s="19">
        <v>7.6</v>
      </c>
      <c r="AT4" s="19">
        <v>25.2</v>
      </c>
      <c r="AU4" s="19">
        <v>35.299999999999997</v>
      </c>
      <c r="AV4" s="19">
        <v>18.5</v>
      </c>
      <c r="AW4" s="19">
        <v>10.1</v>
      </c>
      <c r="AX4" s="18" t="s">
        <v>38</v>
      </c>
      <c r="AY4" s="18" t="s">
        <v>59</v>
      </c>
      <c r="AZ4" s="18" t="s">
        <v>77</v>
      </c>
      <c r="BA4" s="21">
        <v>28672</v>
      </c>
      <c r="BB4" s="21">
        <v>27722</v>
      </c>
      <c r="BC4" s="21">
        <v>37891</v>
      </c>
      <c r="BD4" s="21">
        <v>27576</v>
      </c>
      <c r="BE4" s="21">
        <v>24965</v>
      </c>
      <c r="BF4" s="21">
        <v>11659</v>
      </c>
    </row>
    <row r="5" spans="1:58" ht="16.5" customHeight="1" thickBot="1">
      <c r="A5" s="3" t="s">
        <v>3</v>
      </c>
      <c r="B5" s="20">
        <v>11.821840229571066</v>
      </c>
      <c r="C5" s="20">
        <v>6.8257325213469597</v>
      </c>
      <c r="D5" s="21">
        <v>7.7</v>
      </c>
      <c r="E5" s="21">
        <v>8.1999999999999993</v>
      </c>
      <c r="F5" s="21">
        <v>8.3000000000000007</v>
      </c>
      <c r="G5" s="21">
        <v>8.3000000000000007</v>
      </c>
      <c r="H5" s="21" t="s">
        <v>91</v>
      </c>
      <c r="I5" s="22">
        <v>0.74</v>
      </c>
      <c r="J5" s="22">
        <v>0.83</v>
      </c>
      <c r="K5" s="22">
        <v>0.75</v>
      </c>
      <c r="L5" s="22">
        <v>0.68</v>
      </c>
      <c r="M5" s="32">
        <v>0.67</v>
      </c>
      <c r="N5" s="25">
        <v>226</v>
      </c>
      <c r="O5" s="25">
        <v>314</v>
      </c>
      <c r="P5" s="25">
        <v>236</v>
      </c>
      <c r="Q5" s="25">
        <v>291</v>
      </c>
      <c r="R5" s="25">
        <v>378</v>
      </c>
      <c r="S5" s="26">
        <v>3741</v>
      </c>
      <c r="T5" s="26">
        <v>5909</v>
      </c>
      <c r="U5" s="26">
        <v>1384</v>
      </c>
      <c r="V5" s="26">
        <v>2058</v>
      </c>
      <c r="W5" s="26" t="s">
        <v>92</v>
      </c>
      <c r="X5" s="27">
        <v>4.5349549804365248</v>
      </c>
      <c r="Y5" s="27">
        <v>4.8059841047218326</v>
      </c>
      <c r="Z5" s="27">
        <v>5.3172617693882192</v>
      </c>
      <c r="AA5" s="27">
        <v>4.0581818181818186</v>
      </c>
      <c r="AB5" s="28">
        <v>5.7712201230467688</v>
      </c>
      <c r="AC5" s="29"/>
      <c r="AD5" s="30">
        <v>4.5833176284346608</v>
      </c>
      <c r="AE5" s="30">
        <v>4.9751805054151621</v>
      </c>
      <c r="AF5" s="30">
        <v>5.508725229222124</v>
      </c>
      <c r="AG5" s="30">
        <v>4.2502855278185674</v>
      </c>
      <c r="AH5" s="30">
        <v>6.0026501766784452</v>
      </c>
      <c r="AI5" s="29"/>
      <c r="AJ5" s="29"/>
      <c r="AK5" s="31">
        <v>3.9</v>
      </c>
      <c r="AL5" s="31">
        <v>3.7</v>
      </c>
      <c r="AM5" s="31">
        <v>3.7</v>
      </c>
      <c r="AN5" s="31">
        <v>3.7</v>
      </c>
      <c r="AO5" s="31">
        <v>3.7</v>
      </c>
      <c r="AP5" s="31">
        <v>3.4</v>
      </c>
      <c r="AQ5" s="29">
        <v>5.5</v>
      </c>
      <c r="AR5" s="19">
        <v>11.3</v>
      </c>
      <c r="AS5" s="19">
        <v>8.3000000000000007</v>
      </c>
      <c r="AT5" s="19">
        <v>23.3</v>
      </c>
      <c r="AU5" s="19">
        <v>29.3</v>
      </c>
      <c r="AV5" s="19">
        <v>22.6</v>
      </c>
      <c r="AW5" s="19">
        <v>5.3</v>
      </c>
      <c r="AX5" s="18" t="s">
        <v>39</v>
      </c>
      <c r="AY5" s="18" t="s">
        <v>60</v>
      </c>
      <c r="AZ5" s="18" t="s">
        <v>78</v>
      </c>
      <c r="BA5" s="21">
        <v>11347</v>
      </c>
      <c r="BB5" s="21">
        <v>10998</v>
      </c>
      <c r="BC5" s="21">
        <v>9791</v>
      </c>
      <c r="BD5" s="21">
        <v>6533</v>
      </c>
      <c r="BE5" s="21">
        <v>6052</v>
      </c>
      <c r="BF5" s="21">
        <v>3127</v>
      </c>
    </row>
    <row r="6" spans="1:58" ht="19.5" customHeight="1" thickBot="1">
      <c r="A6" s="3" t="s">
        <v>4</v>
      </c>
      <c r="B6" s="20">
        <v>0.57786516799916399</v>
      </c>
      <c r="C6" s="20">
        <v>3.5963006453637996</v>
      </c>
      <c r="D6" s="21">
        <v>2.9</v>
      </c>
      <c r="E6" s="21">
        <v>2.8</v>
      </c>
      <c r="F6" s="21">
        <v>2.8</v>
      </c>
      <c r="G6" s="21">
        <v>2.7</v>
      </c>
      <c r="H6" s="21">
        <v>2.7</v>
      </c>
      <c r="I6" s="22">
        <v>1.41</v>
      </c>
      <c r="J6" s="22">
        <v>1.53</v>
      </c>
      <c r="K6" s="22">
        <v>1.19</v>
      </c>
      <c r="L6" s="22">
        <v>1.07</v>
      </c>
      <c r="M6" s="32">
        <v>1.1599999999999999</v>
      </c>
      <c r="N6" s="25">
        <v>-622</v>
      </c>
      <c r="O6" s="25">
        <v>-630</v>
      </c>
      <c r="P6" s="25">
        <v>-374</v>
      </c>
      <c r="Q6" s="25">
        <v>-150</v>
      </c>
      <c r="R6" s="25">
        <v>316</v>
      </c>
      <c r="S6" s="26">
        <v>-1098</v>
      </c>
      <c r="T6" s="26">
        <v>-2318</v>
      </c>
      <c r="U6" s="26">
        <v>-1431</v>
      </c>
      <c r="V6" s="26">
        <v>-1645</v>
      </c>
      <c r="W6" s="26">
        <v>-2186</v>
      </c>
      <c r="X6" s="27">
        <v>4.5066704379389995</v>
      </c>
      <c r="Y6" s="27">
        <v>4.0065451145395041</v>
      </c>
      <c r="Z6" s="27">
        <v>3.8207869001591996</v>
      </c>
      <c r="AA6" s="27">
        <v>3.0981818181818181</v>
      </c>
      <c r="AB6" s="28">
        <v>4.0235204442750581</v>
      </c>
      <c r="AC6" s="29"/>
      <c r="AD6" s="30">
        <v>4.5154724661716479</v>
      </c>
      <c r="AE6" s="30">
        <v>3.8733453670276772</v>
      </c>
      <c r="AF6" s="30">
        <v>3.7932564330079863</v>
      </c>
      <c r="AG6" s="30">
        <v>3.0959373470386686</v>
      </c>
      <c r="AH6" s="30">
        <v>3.9222614840989398</v>
      </c>
      <c r="AI6" s="29"/>
      <c r="AJ6" s="29"/>
      <c r="AK6" s="31">
        <v>3</v>
      </c>
      <c r="AL6" s="31">
        <v>3.2</v>
      </c>
      <c r="AM6" s="31">
        <v>3.1</v>
      </c>
      <c r="AN6" s="31">
        <v>3</v>
      </c>
      <c r="AO6" s="31">
        <v>3.3</v>
      </c>
      <c r="AP6" s="31">
        <v>3.1</v>
      </c>
      <c r="AQ6" s="29">
        <v>5.6</v>
      </c>
      <c r="AR6" s="19">
        <v>0</v>
      </c>
      <c r="AS6" s="19">
        <v>8.1</v>
      </c>
      <c r="AT6" s="19">
        <v>29.7</v>
      </c>
      <c r="AU6" s="19">
        <v>39.200000000000003</v>
      </c>
      <c r="AV6" s="19">
        <v>23</v>
      </c>
      <c r="AW6" s="19">
        <v>0</v>
      </c>
      <c r="AX6" s="18" t="s">
        <v>40</v>
      </c>
      <c r="AY6" s="19" t="s">
        <v>61</v>
      </c>
      <c r="AZ6" s="19" t="s">
        <v>79</v>
      </c>
      <c r="BA6" s="21">
        <v>7657</v>
      </c>
      <c r="BB6" s="21">
        <v>6744</v>
      </c>
      <c r="BC6" s="21">
        <v>5317</v>
      </c>
      <c r="BD6" s="21">
        <v>5084</v>
      </c>
      <c r="BE6" s="21">
        <v>5120</v>
      </c>
      <c r="BF6" s="21">
        <v>2859</v>
      </c>
    </row>
    <row r="7" spans="1:58" ht="20.25" customHeight="1" thickBot="1">
      <c r="A7" s="3" t="s">
        <v>5</v>
      </c>
      <c r="B7" s="20">
        <v>-2.1290596165937927</v>
      </c>
      <c r="C7" s="20">
        <v>4.6021729178925286</v>
      </c>
      <c r="D7" s="21">
        <v>4.9000000000000004</v>
      </c>
      <c r="E7" s="21">
        <v>4.9000000000000004</v>
      </c>
      <c r="F7" s="21">
        <v>4.7</v>
      </c>
      <c r="G7" s="21">
        <v>4.9000000000000004</v>
      </c>
      <c r="H7" s="21">
        <v>4.7</v>
      </c>
      <c r="I7" s="22">
        <v>0.87</v>
      </c>
      <c r="J7" s="22">
        <v>1</v>
      </c>
      <c r="K7" s="22">
        <v>0.85</v>
      </c>
      <c r="L7" s="22">
        <v>0.96</v>
      </c>
      <c r="M7" s="32">
        <v>0.81</v>
      </c>
      <c r="N7" s="25">
        <v>-419</v>
      </c>
      <c r="O7" s="25">
        <v>-359</v>
      </c>
      <c r="P7" s="25">
        <v>-79</v>
      </c>
      <c r="Q7" s="25">
        <v>161</v>
      </c>
      <c r="R7" s="25">
        <v>346</v>
      </c>
      <c r="S7" s="26">
        <v>-384</v>
      </c>
      <c r="T7" s="26">
        <v>-787</v>
      </c>
      <c r="U7" s="26">
        <v>-1112</v>
      </c>
      <c r="V7" s="26">
        <v>-896</v>
      </c>
      <c r="W7" s="26">
        <v>-1301</v>
      </c>
      <c r="X7" s="27">
        <v>4.6480931504266252</v>
      </c>
      <c r="Y7" s="27">
        <v>5.6007480130902287</v>
      </c>
      <c r="Z7" s="27">
        <v>4.6759153968614964</v>
      </c>
      <c r="AA7" s="27">
        <v>5.0133333333333336</v>
      </c>
      <c r="AB7" s="28">
        <v>5.6677737246147979</v>
      </c>
      <c r="AC7" s="29"/>
      <c r="AD7" s="30">
        <v>4.496626587765256</v>
      </c>
      <c r="AE7" s="30">
        <v>5.3249097472924189</v>
      </c>
      <c r="AF7" s="30">
        <v>4.6140195208518193</v>
      </c>
      <c r="AG7" s="30">
        <v>4.8335780714635339</v>
      </c>
      <c r="AH7" s="30">
        <v>5.5918727915194344</v>
      </c>
      <c r="AI7" s="29"/>
      <c r="AJ7" s="29"/>
      <c r="AK7" s="31">
        <v>3.2</v>
      </c>
      <c r="AL7" s="31">
        <v>2.9</v>
      </c>
      <c r="AM7" s="31">
        <v>2.8</v>
      </c>
      <c r="AN7" s="31">
        <v>2.8</v>
      </c>
      <c r="AO7" s="31">
        <v>2.5</v>
      </c>
      <c r="AP7" s="31">
        <v>2.2000000000000002</v>
      </c>
      <c r="AQ7" s="29">
        <v>6.1</v>
      </c>
      <c r="AR7" s="19">
        <v>4.3</v>
      </c>
      <c r="AS7" s="19">
        <v>12.9</v>
      </c>
      <c r="AT7" s="19">
        <v>17.2</v>
      </c>
      <c r="AU7" s="19">
        <v>36.6</v>
      </c>
      <c r="AV7" s="19">
        <v>24.7</v>
      </c>
      <c r="AW7" s="19">
        <v>4.3</v>
      </c>
      <c r="AX7" s="18" t="s">
        <v>41</v>
      </c>
      <c r="AY7" s="18" t="s">
        <v>62</v>
      </c>
      <c r="AZ7" s="18" t="s">
        <v>80</v>
      </c>
      <c r="BA7" s="21">
        <v>7130</v>
      </c>
      <c r="BB7" s="21">
        <v>7193</v>
      </c>
      <c r="BC7" s="21">
        <v>6824</v>
      </c>
      <c r="BD7" s="21">
        <v>6178</v>
      </c>
      <c r="BE7" s="21">
        <v>6117</v>
      </c>
      <c r="BF7" s="21">
        <v>2976</v>
      </c>
    </row>
    <row r="8" spans="1:58" ht="19.5" customHeight="1" thickBot="1">
      <c r="A8" s="3" t="s">
        <v>6</v>
      </c>
      <c r="B8" s="20">
        <v>10.034816833181949</v>
      </c>
      <c r="C8" s="20">
        <v>7.4971391558924099</v>
      </c>
      <c r="D8" s="21">
        <v>8.8000000000000007</v>
      </c>
      <c r="E8" s="21">
        <v>8.5</v>
      </c>
      <c r="F8" s="21">
        <v>8.5</v>
      </c>
      <c r="G8" s="21">
        <v>8.5</v>
      </c>
      <c r="H8" s="21">
        <v>8.3000000000000007</v>
      </c>
      <c r="I8" s="22">
        <v>1.05</v>
      </c>
      <c r="J8" s="22">
        <v>1.1399999999999999</v>
      </c>
      <c r="K8" s="22">
        <v>1.0900000000000001</v>
      </c>
      <c r="L8" s="22">
        <v>1</v>
      </c>
      <c r="M8" s="32">
        <v>0.97</v>
      </c>
      <c r="N8" s="25">
        <v>54</v>
      </c>
      <c r="O8" s="25">
        <v>-274</v>
      </c>
      <c r="P8" s="25">
        <v>816</v>
      </c>
      <c r="Q8" s="25">
        <v>764</v>
      </c>
      <c r="R8" s="25">
        <v>2395</v>
      </c>
      <c r="S8" s="26">
        <v>-4816</v>
      </c>
      <c r="T8" s="26">
        <v>-2021</v>
      </c>
      <c r="U8" s="26">
        <v>-1984</v>
      </c>
      <c r="V8" s="26">
        <v>-809</v>
      </c>
      <c r="W8" s="26">
        <v>-1265</v>
      </c>
      <c r="X8" s="27">
        <v>6.8260029227360572</v>
      </c>
      <c r="Y8" s="27">
        <v>6.222533894343151</v>
      </c>
      <c r="Z8" s="27">
        <v>6.5408232886058677</v>
      </c>
      <c r="AA8" s="27">
        <v>6.9090909090909092</v>
      </c>
      <c r="AB8" s="28">
        <v>4.6714215712963467</v>
      </c>
      <c r="AC8" s="29"/>
      <c r="AD8" s="30">
        <v>6.9880517130903472</v>
      </c>
      <c r="AE8" s="30">
        <v>6.5959687123947051</v>
      </c>
      <c r="AF8" s="30">
        <v>6.6807157645666955</v>
      </c>
      <c r="AG8" s="30">
        <v>7.0362212432697007</v>
      </c>
      <c r="AH8" s="30">
        <v>4.5494699646643104</v>
      </c>
      <c r="AI8" s="29"/>
      <c r="AJ8" s="29"/>
      <c r="AK8" s="31">
        <v>3</v>
      </c>
      <c r="AL8" s="31">
        <v>3.4</v>
      </c>
      <c r="AM8" s="31">
        <v>3.4</v>
      </c>
      <c r="AN8" s="31">
        <v>3.3</v>
      </c>
      <c r="AO8" s="31">
        <v>3.1</v>
      </c>
      <c r="AP8" s="31">
        <v>3</v>
      </c>
      <c r="AQ8" s="29">
        <v>6.8</v>
      </c>
      <c r="AR8" s="19">
        <v>0.7</v>
      </c>
      <c r="AS8" s="19">
        <v>5.4</v>
      </c>
      <c r="AT8" s="19">
        <v>23</v>
      </c>
      <c r="AU8" s="19">
        <v>43.9</v>
      </c>
      <c r="AV8" s="19">
        <v>18.899999999999999</v>
      </c>
      <c r="AW8" s="19">
        <v>8.1</v>
      </c>
      <c r="AX8" s="18" t="s">
        <v>42</v>
      </c>
      <c r="AY8" s="18">
        <v>933</v>
      </c>
      <c r="AZ8" s="18">
        <v>933</v>
      </c>
      <c r="BA8" s="21">
        <v>14960</v>
      </c>
      <c r="BB8" s="21">
        <v>15014</v>
      </c>
      <c r="BC8" s="21">
        <v>12571</v>
      </c>
      <c r="BD8" s="21">
        <v>10223</v>
      </c>
      <c r="BE8" s="21">
        <v>10011</v>
      </c>
      <c r="BF8" s="21">
        <v>4443</v>
      </c>
    </row>
    <row r="9" spans="1:58" ht="18.75" customHeight="1" thickBot="1">
      <c r="A9" s="3" t="s">
        <v>7</v>
      </c>
      <c r="B9" s="20">
        <v>4.6056323912607695</v>
      </c>
      <c r="C9" s="20">
        <v>3.5884276298836975</v>
      </c>
      <c r="D9" s="21">
        <v>4.2</v>
      </c>
      <c r="E9" s="21">
        <v>4.0999999999999996</v>
      </c>
      <c r="F9" s="21">
        <v>4.2</v>
      </c>
      <c r="G9" s="21">
        <v>4.2</v>
      </c>
      <c r="H9" s="21">
        <v>4</v>
      </c>
      <c r="I9" s="22">
        <v>1.27</v>
      </c>
      <c r="J9" s="22">
        <v>0.96</v>
      </c>
      <c r="K9" s="22">
        <v>0.79</v>
      </c>
      <c r="L9" s="22">
        <v>0.85</v>
      </c>
      <c r="M9" s="32">
        <v>0.75</v>
      </c>
      <c r="N9" s="25">
        <v>30</v>
      </c>
      <c r="O9" s="25">
        <v>119</v>
      </c>
      <c r="P9" s="25">
        <v>178</v>
      </c>
      <c r="Q9" s="25">
        <v>324</v>
      </c>
      <c r="R9" s="25">
        <v>367</v>
      </c>
      <c r="S9" s="26">
        <v>-197</v>
      </c>
      <c r="T9" s="26">
        <v>-1084</v>
      </c>
      <c r="U9" s="26">
        <v>-1115</v>
      </c>
      <c r="V9" s="26">
        <v>-937</v>
      </c>
      <c r="W9" s="26">
        <v>-1848</v>
      </c>
      <c r="X9" s="27">
        <v>3.1065855843115071</v>
      </c>
      <c r="Y9" s="27">
        <v>3.2445067788686304</v>
      </c>
      <c r="Z9" s="27">
        <v>3.6661360018194222</v>
      </c>
      <c r="AA9" s="27">
        <v>3.0496969696969698</v>
      </c>
      <c r="AB9" s="28">
        <v>3.4246202428268093</v>
      </c>
      <c r="AC9" s="29"/>
      <c r="AD9" s="30">
        <v>3.0643398288794241</v>
      </c>
      <c r="AE9" s="30">
        <v>3.1287605294825513</v>
      </c>
      <c r="AF9" s="30">
        <v>3.3569949719018042</v>
      </c>
      <c r="AG9" s="30">
        <v>3.0347528144884972</v>
      </c>
      <c r="AH9" s="30">
        <v>3.3259717314487633</v>
      </c>
      <c r="AI9" s="29"/>
      <c r="AJ9" s="29"/>
      <c r="AK9" s="31">
        <v>2.4</v>
      </c>
      <c r="AL9" s="31">
        <v>2.4</v>
      </c>
      <c r="AM9" s="31">
        <v>2.4</v>
      </c>
      <c r="AN9" s="31">
        <v>2.4</v>
      </c>
      <c r="AO9" s="31">
        <v>2.6</v>
      </c>
      <c r="AP9" s="31">
        <v>2.5</v>
      </c>
      <c r="AQ9" s="29">
        <v>5.6</v>
      </c>
      <c r="AR9" s="19">
        <v>1.4</v>
      </c>
      <c r="AS9" s="19">
        <v>8.3000000000000007</v>
      </c>
      <c r="AT9" s="19">
        <v>38.9</v>
      </c>
      <c r="AU9" s="19">
        <v>19.399999999999999</v>
      </c>
      <c r="AV9" s="19">
        <v>23.6</v>
      </c>
      <c r="AW9" s="19">
        <v>5.6</v>
      </c>
      <c r="AX9" s="18" t="s">
        <v>43</v>
      </c>
      <c r="AY9" s="18" t="s">
        <v>63</v>
      </c>
      <c r="AZ9" s="18" t="s">
        <v>81</v>
      </c>
      <c r="BA9" s="21">
        <v>4102</v>
      </c>
      <c r="BB9" s="21">
        <v>4203</v>
      </c>
      <c r="BC9" s="21">
        <v>4875</v>
      </c>
      <c r="BD9" s="21">
        <v>4283</v>
      </c>
      <c r="BE9" s="21">
        <v>4647</v>
      </c>
      <c r="BF9" s="21">
        <v>1939</v>
      </c>
    </row>
    <row r="10" spans="1:58" ht="12" customHeight="1" thickBot="1">
      <c r="A10" s="3" t="s">
        <v>8</v>
      </c>
      <c r="B10" s="20">
        <v>-11.016004334507272</v>
      </c>
      <c r="C10" s="20">
        <v>2.9361018843839082</v>
      </c>
      <c r="D10" s="21">
        <v>2.4</v>
      </c>
      <c r="E10" s="21">
        <v>2.4</v>
      </c>
      <c r="F10" s="21">
        <v>2.2999999999999998</v>
      </c>
      <c r="G10" s="21">
        <v>2.2000000000000002</v>
      </c>
      <c r="H10" s="21">
        <v>2.2000000000000002</v>
      </c>
      <c r="I10" s="22">
        <v>1.71</v>
      </c>
      <c r="J10" s="22">
        <v>1.9</v>
      </c>
      <c r="K10" s="22">
        <v>1.55</v>
      </c>
      <c r="L10" s="22">
        <v>1.48</v>
      </c>
      <c r="M10" s="32">
        <v>1.38</v>
      </c>
      <c r="N10" s="25">
        <v>-951</v>
      </c>
      <c r="O10" s="25">
        <v>-957</v>
      </c>
      <c r="P10" s="25">
        <v>-540</v>
      </c>
      <c r="Q10" s="25">
        <v>-220</v>
      </c>
      <c r="R10" s="25">
        <v>-86</v>
      </c>
      <c r="S10" s="26">
        <v>-442</v>
      </c>
      <c r="T10" s="26">
        <v>-523</v>
      </c>
      <c r="U10" s="26">
        <v>-862</v>
      </c>
      <c r="V10" s="26">
        <v>-1094</v>
      </c>
      <c r="W10" s="26">
        <v>-1089</v>
      </c>
      <c r="X10" s="27">
        <v>4.6198086079291008</v>
      </c>
      <c r="Y10" s="27">
        <v>4.8340345956054227</v>
      </c>
      <c r="Z10" s="27">
        <v>4.4166477143506935</v>
      </c>
      <c r="AA10" s="27">
        <v>5.4303030303030306</v>
      </c>
      <c r="AB10" s="28">
        <v>5.1995426580279851</v>
      </c>
      <c r="AC10" s="29"/>
      <c r="AD10" s="30">
        <v>4.3797821416456229</v>
      </c>
      <c r="AE10" s="30">
        <v>4.7232250300842358</v>
      </c>
      <c r="AF10" s="30">
        <v>4.4550428867199052</v>
      </c>
      <c r="AG10" s="30">
        <v>5.3026594876815141</v>
      </c>
      <c r="AH10" s="30">
        <v>5.0618374558303891</v>
      </c>
      <c r="AI10" s="29"/>
      <c r="AJ10" s="29"/>
      <c r="AK10" s="31">
        <v>3.4</v>
      </c>
      <c r="AL10" s="31">
        <v>3.2</v>
      </c>
      <c r="AM10" s="31">
        <v>3</v>
      </c>
      <c r="AN10" s="31">
        <v>3.9</v>
      </c>
      <c r="AO10" s="31">
        <v>3.4</v>
      </c>
      <c r="AP10" s="33">
        <v>3.3</v>
      </c>
      <c r="AQ10" s="29">
        <v>4.0999999999999996</v>
      </c>
      <c r="AR10" s="19">
        <v>14.5</v>
      </c>
      <c r="AS10" s="19">
        <v>17.7</v>
      </c>
      <c r="AT10" s="19">
        <v>25.8</v>
      </c>
      <c r="AU10" s="19">
        <v>22.6</v>
      </c>
      <c r="AV10" s="19">
        <v>9.6999999999999993</v>
      </c>
      <c r="AW10" s="19">
        <v>9.6999999999999993</v>
      </c>
      <c r="AX10" s="18" t="s">
        <v>44</v>
      </c>
      <c r="AY10" s="19" t="s">
        <v>64</v>
      </c>
      <c r="AZ10" s="19" t="s">
        <v>64</v>
      </c>
      <c r="BA10" s="21">
        <v>13517</v>
      </c>
      <c r="BB10" s="21">
        <v>12331</v>
      </c>
      <c r="BC10" s="21">
        <v>7764</v>
      </c>
      <c r="BD10" s="21">
        <v>5155</v>
      </c>
      <c r="BE10" s="21">
        <v>4853</v>
      </c>
      <c r="BF10" s="21">
        <v>2460</v>
      </c>
    </row>
    <row r="11" spans="1:58" ht="18" customHeight="1" thickBot="1">
      <c r="A11" s="3" t="s">
        <v>9</v>
      </c>
      <c r="B11" s="20">
        <v>7.0305921555348476</v>
      </c>
      <c r="C11" s="20">
        <v>6.1398347251208847</v>
      </c>
      <c r="D11" s="21">
        <v>7</v>
      </c>
      <c r="E11" s="21">
        <v>7</v>
      </c>
      <c r="F11" s="21">
        <v>6.7</v>
      </c>
      <c r="G11" s="21">
        <v>6.8</v>
      </c>
      <c r="H11" s="21">
        <v>6.8</v>
      </c>
      <c r="I11" s="22">
        <v>0.74</v>
      </c>
      <c r="J11" s="22">
        <v>1</v>
      </c>
      <c r="K11" s="22">
        <v>0.99</v>
      </c>
      <c r="L11" s="22">
        <v>0.95</v>
      </c>
      <c r="M11" s="32">
        <v>0.92</v>
      </c>
      <c r="N11" s="25">
        <v>-276</v>
      </c>
      <c r="O11" s="25">
        <v>-290</v>
      </c>
      <c r="P11" s="25">
        <v>-141</v>
      </c>
      <c r="Q11" s="25">
        <v>-108</v>
      </c>
      <c r="R11" s="25">
        <v>-36</v>
      </c>
      <c r="S11" s="26">
        <v>-4435</v>
      </c>
      <c r="T11" s="26">
        <v>-4767</v>
      </c>
      <c r="U11" s="26">
        <v>-6360</v>
      </c>
      <c r="V11" s="26">
        <v>-6370</v>
      </c>
      <c r="W11" s="26">
        <v>-7859</v>
      </c>
      <c r="X11" s="27">
        <v>4.567953613350304</v>
      </c>
      <c r="Y11" s="27">
        <v>5.5539971949509122</v>
      </c>
      <c r="Z11" s="27">
        <v>4.9260859677052533</v>
      </c>
      <c r="AA11" s="27">
        <v>4.8290909090909091</v>
      </c>
      <c r="AB11" s="27">
        <v>5.074318070452442</v>
      </c>
      <c r="AC11" s="29"/>
      <c r="AD11" s="34">
        <v>4.9564660208812334</v>
      </c>
      <c r="AE11" s="34">
        <v>5.6896811070998794</v>
      </c>
      <c r="AF11" s="34">
        <v>5.0170068027210881</v>
      </c>
      <c r="AG11" s="34">
        <v>5.0620003263175066</v>
      </c>
      <c r="AH11" s="34">
        <v>5.4063604240282688</v>
      </c>
      <c r="AI11" s="29"/>
      <c r="AJ11" s="29"/>
      <c r="AK11" s="31">
        <v>2.8</v>
      </c>
      <c r="AL11" s="31">
        <v>2.9</v>
      </c>
      <c r="AM11" s="31">
        <v>2.8</v>
      </c>
      <c r="AN11" s="31">
        <v>3</v>
      </c>
      <c r="AO11" s="31">
        <v>3.1</v>
      </c>
      <c r="AP11" s="31">
        <v>3</v>
      </c>
      <c r="AQ11" s="29">
        <v>6.8</v>
      </c>
      <c r="AR11" s="19">
        <v>0.8</v>
      </c>
      <c r="AS11" s="19">
        <v>9.8000000000000007</v>
      </c>
      <c r="AT11" s="19">
        <v>33.299999999999997</v>
      </c>
      <c r="AU11" s="19">
        <v>40.700000000000003</v>
      </c>
      <c r="AV11" s="19">
        <v>15.4</v>
      </c>
      <c r="AW11" s="19">
        <v>0</v>
      </c>
      <c r="AX11" s="18" t="s">
        <v>45</v>
      </c>
      <c r="AY11" s="18" t="s">
        <v>65</v>
      </c>
      <c r="AZ11" s="18" t="s">
        <v>82</v>
      </c>
      <c r="BA11" s="21">
        <v>6197</v>
      </c>
      <c r="BB11" s="21">
        <v>5667</v>
      </c>
      <c r="BC11" s="21">
        <v>5273</v>
      </c>
      <c r="BD11" s="21">
        <v>4511</v>
      </c>
      <c r="BE11" s="21">
        <v>4133</v>
      </c>
      <c r="BF11" s="21">
        <v>2405</v>
      </c>
    </row>
    <row r="12" spans="1:58" ht="24" customHeight="1" thickBot="1">
      <c r="A12" s="3" t="s">
        <v>10</v>
      </c>
      <c r="B12" s="20">
        <v>-3.554903979121832</v>
      </c>
      <c r="C12" s="20">
        <v>3.1890182091846464</v>
      </c>
      <c r="D12" s="21">
        <v>3.2</v>
      </c>
      <c r="E12" s="21">
        <v>3.2</v>
      </c>
      <c r="F12" s="21">
        <v>3.1</v>
      </c>
      <c r="G12" s="21">
        <v>3</v>
      </c>
      <c r="H12" s="21">
        <v>3</v>
      </c>
      <c r="I12" s="22">
        <v>1</v>
      </c>
      <c r="J12" s="22">
        <v>1.45</v>
      </c>
      <c r="K12" s="22">
        <v>1.1499999999999999</v>
      </c>
      <c r="L12" s="22">
        <v>1.2</v>
      </c>
      <c r="M12" s="32">
        <v>1.03</v>
      </c>
      <c r="N12" s="25">
        <v>-275</v>
      </c>
      <c r="O12" s="25">
        <v>-245</v>
      </c>
      <c r="P12" s="25">
        <v>-58</v>
      </c>
      <c r="Q12" s="25">
        <v>307</v>
      </c>
      <c r="R12" s="25">
        <v>174</v>
      </c>
      <c r="S12" s="26">
        <v>-1036</v>
      </c>
      <c r="T12" s="26">
        <v>-922</v>
      </c>
      <c r="U12" s="26">
        <v>-1064</v>
      </c>
      <c r="V12" s="26">
        <v>-1033</v>
      </c>
      <c r="W12" s="26">
        <v>-1459</v>
      </c>
      <c r="X12" s="27">
        <v>3.9786923113185311</v>
      </c>
      <c r="Y12" s="27">
        <v>3.8055165965404396</v>
      </c>
      <c r="Z12" s="27">
        <v>3.6479417784853307</v>
      </c>
      <c r="AA12" s="27">
        <v>4.0727272727272732</v>
      </c>
      <c r="AB12" s="28">
        <v>4.0344095388468446</v>
      </c>
      <c r="AC12" s="29"/>
      <c r="AD12" s="30">
        <v>3.9425577626173158</v>
      </c>
      <c r="AE12" s="30">
        <v>3.674037304452467</v>
      </c>
      <c r="AF12" s="30">
        <v>3.5159716060337178</v>
      </c>
      <c r="AG12" s="30">
        <v>3.8913362701908953</v>
      </c>
      <c r="AH12" s="30">
        <v>3.9355123674911661</v>
      </c>
      <c r="AI12" s="29"/>
      <c r="AJ12" s="29"/>
      <c r="AK12" s="31">
        <v>3.8</v>
      </c>
      <c r="AL12" s="31">
        <v>3.9</v>
      </c>
      <c r="AM12" s="31">
        <v>3.9</v>
      </c>
      <c r="AN12" s="31">
        <v>4</v>
      </c>
      <c r="AO12" s="31">
        <v>3.8</v>
      </c>
      <c r="AP12" s="31">
        <v>3.8</v>
      </c>
      <c r="AQ12" s="29">
        <v>5.0999999999999996</v>
      </c>
      <c r="AR12" s="19">
        <v>12.3</v>
      </c>
      <c r="AS12" s="19">
        <v>26.2</v>
      </c>
      <c r="AT12" s="19">
        <v>44.6</v>
      </c>
      <c r="AU12" s="19">
        <v>13.8</v>
      </c>
      <c r="AV12" s="19">
        <v>3.1</v>
      </c>
      <c r="AW12" s="19">
        <v>0</v>
      </c>
      <c r="AX12" s="18" t="s">
        <v>46</v>
      </c>
      <c r="AY12" s="18" t="s">
        <v>66</v>
      </c>
      <c r="AZ12" s="18" t="s">
        <v>83</v>
      </c>
      <c r="BA12" s="21">
        <v>6928</v>
      </c>
      <c r="BB12" s="21">
        <v>6088</v>
      </c>
      <c r="BC12" s="21">
        <v>5908</v>
      </c>
      <c r="BD12" s="21">
        <v>4621</v>
      </c>
      <c r="BE12" s="21">
        <v>4338</v>
      </c>
      <c r="BF12" s="21">
        <v>2147</v>
      </c>
    </row>
    <row r="13" spans="1:58" ht="15" customHeight="1" thickBot="1">
      <c r="A13" s="3" t="s">
        <v>11</v>
      </c>
      <c r="B13" s="20">
        <v>-8.5502777551715496</v>
      </c>
      <c r="C13" s="20">
        <v>5.2154430058141701</v>
      </c>
      <c r="D13" s="21">
        <v>4.3</v>
      </c>
      <c r="E13" s="21">
        <v>4.3</v>
      </c>
      <c r="F13" s="21">
        <v>4.0999999999999996</v>
      </c>
      <c r="G13" s="21">
        <v>4.0999999999999996</v>
      </c>
      <c r="H13" s="21">
        <v>4.2</v>
      </c>
      <c r="I13" s="22">
        <v>1.24</v>
      </c>
      <c r="J13" s="22">
        <v>1.31</v>
      </c>
      <c r="K13" s="22">
        <v>1.24</v>
      </c>
      <c r="L13" s="22">
        <v>1.17</v>
      </c>
      <c r="M13" s="32">
        <v>1.66</v>
      </c>
      <c r="N13" s="25">
        <v>-1153</v>
      </c>
      <c r="O13" s="25">
        <v>-1299</v>
      </c>
      <c r="P13" s="25">
        <v>-609</v>
      </c>
      <c r="Q13" s="25">
        <v>-8</v>
      </c>
      <c r="R13" s="25">
        <v>66</v>
      </c>
      <c r="S13" s="26">
        <v>-1406</v>
      </c>
      <c r="T13" s="26">
        <v>-1447</v>
      </c>
      <c r="U13" s="26">
        <v>-1268</v>
      </c>
      <c r="V13" s="26">
        <v>-1556</v>
      </c>
      <c r="W13" s="26">
        <v>-2193</v>
      </c>
      <c r="X13" s="27">
        <v>7.8536746334794696</v>
      </c>
      <c r="Y13" s="27">
        <v>8.265544647031323</v>
      </c>
      <c r="Z13" s="27">
        <v>7.9417784853309064</v>
      </c>
      <c r="AA13" s="27">
        <v>8.4509090909090911</v>
      </c>
      <c r="AB13" s="28">
        <v>8.4934937659933585</v>
      </c>
      <c r="AC13" s="29"/>
      <c r="AD13" s="30">
        <v>7.6853492141268704</v>
      </c>
      <c r="AE13" s="30">
        <v>8.1490673886883283</v>
      </c>
      <c r="AF13" s="30">
        <v>7.9007690032534761</v>
      </c>
      <c r="AG13" s="30">
        <v>8.3537281775167234</v>
      </c>
      <c r="AH13" s="30">
        <v>8.3215547703180217</v>
      </c>
      <c r="AI13" s="29"/>
      <c r="AJ13" s="29"/>
      <c r="AK13" s="31">
        <v>4.8</v>
      </c>
      <c r="AL13" s="31">
        <v>5</v>
      </c>
      <c r="AM13" s="31">
        <v>4.7</v>
      </c>
      <c r="AN13" s="31">
        <v>4.5</v>
      </c>
      <c r="AO13" s="31">
        <v>3</v>
      </c>
      <c r="AP13" s="31">
        <v>3.1</v>
      </c>
      <c r="AQ13" s="29">
        <v>8.9</v>
      </c>
      <c r="AR13" s="19">
        <v>4.5999999999999996</v>
      </c>
      <c r="AS13" s="19">
        <v>8.3000000000000007</v>
      </c>
      <c r="AT13" s="19">
        <v>29.6</v>
      </c>
      <c r="AU13" s="19">
        <v>38.9</v>
      </c>
      <c r="AV13" s="19">
        <v>15.7</v>
      </c>
      <c r="AW13" s="19">
        <v>2.8</v>
      </c>
      <c r="AX13" s="18" t="s">
        <v>47</v>
      </c>
      <c r="AY13" s="18" t="s">
        <v>67</v>
      </c>
      <c r="AZ13" s="18" t="s">
        <v>67</v>
      </c>
      <c r="BA13" s="21">
        <v>12252</v>
      </c>
      <c r="BB13" s="21">
        <v>11600</v>
      </c>
      <c r="BC13" s="21">
        <v>9771</v>
      </c>
      <c r="BD13" s="21">
        <v>9264</v>
      </c>
      <c r="BE13" s="21">
        <v>7562</v>
      </c>
      <c r="BF13" s="21">
        <v>3719</v>
      </c>
    </row>
    <row r="14" spans="1:58" ht="21" customHeight="1" thickBot="1">
      <c r="A14" s="3" t="s">
        <v>12</v>
      </c>
      <c r="B14" s="20">
        <v>-14.718358567584744</v>
      </c>
      <c r="C14" s="20">
        <v>3.6667796049018286</v>
      </c>
      <c r="D14" s="21">
        <v>2.7</v>
      </c>
      <c r="E14" s="21">
        <v>2.5</v>
      </c>
      <c r="F14" s="21">
        <v>2.5</v>
      </c>
      <c r="G14" s="21">
        <v>2.4</v>
      </c>
      <c r="H14" s="21">
        <v>2.4</v>
      </c>
      <c r="I14" s="22">
        <v>1.31</v>
      </c>
      <c r="J14" s="22">
        <v>1.34</v>
      </c>
      <c r="K14" s="22">
        <v>1.1100000000000001</v>
      </c>
      <c r="L14" s="22">
        <v>1.2</v>
      </c>
      <c r="M14" s="32">
        <v>1</v>
      </c>
      <c r="N14" s="25">
        <v>-970</v>
      </c>
      <c r="O14" s="25">
        <v>-870</v>
      </c>
      <c r="P14" s="25">
        <v>-467</v>
      </c>
      <c r="Q14" s="25">
        <v>379</v>
      </c>
      <c r="R14" s="25">
        <v>424</v>
      </c>
      <c r="S14" s="26">
        <v>-1431</v>
      </c>
      <c r="T14" s="26">
        <v>-1684</v>
      </c>
      <c r="U14" s="26">
        <v>-1586</v>
      </c>
      <c r="V14" s="26">
        <v>-1616</v>
      </c>
      <c r="W14" s="26">
        <v>-2418</v>
      </c>
      <c r="X14" s="27">
        <v>5.4777730636873612</v>
      </c>
      <c r="Y14" s="27">
        <v>4.7919588592800375</v>
      </c>
      <c r="Z14" s="27">
        <v>5.2126449852171932</v>
      </c>
      <c r="AA14" s="27">
        <v>5.8618181818181823</v>
      </c>
      <c r="AB14" s="28">
        <v>5.5588827788969351</v>
      </c>
      <c r="AC14" s="29"/>
      <c r="AD14" s="30">
        <v>5.4351513324036027</v>
      </c>
      <c r="AE14" s="30">
        <v>4.6743381468110714</v>
      </c>
      <c r="AF14" s="30">
        <v>5.2240461401952087</v>
      </c>
      <c r="AG14" s="30">
        <v>5.8166095611029531</v>
      </c>
      <c r="AH14" s="30">
        <v>5.5256183745583041</v>
      </c>
      <c r="AI14" s="29"/>
      <c r="AJ14" s="29"/>
      <c r="AK14" s="31">
        <v>3.3</v>
      </c>
      <c r="AL14" s="31">
        <v>3.2</v>
      </c>
      <c r="AM14" s="31">
        <v>3</v>
      </c>
      <c r="AN14" s="31">
        <v>2.8</v>
      </c>
      <c r="AO14" s="31">
        <v>3.1</v>
      </c>
      <c r="AP14" s="31">
        <v>2.8</v>
      </c>
      <c r="AQ14" s="29">
        <v>5.2</v>
      </c>
      <c r="AR14" s="19">
        <v>1.3</v>
      </c>
      <c r="AS14" s="19">
        <v>10.4</v>
      </c>
      <c r="AT14" s="19">
        <v>19.5</v>
      </c>
      <c r="AU14" s="19">
        <v>36.4</v>
      </c>
      <c r="AV14" s="19">
        <v>28.6</v>
      </c>
      <c r="AW14" s="19">
        <v>3.9</v>
      </c>
      <c r="AX14" s="18" t="s">
        <v>48</v>
      </c>
      <c r="AY14" s="19" t="s">
        <v>68</v>
      </c>
      <c r="AZ14" s="19" t="s">
        <v>84</v>
      </c>
      <c r="BA14" s="21">
        <v>9137</v>
      </c>
      <c r="BB14" s="21">
        <v>8478</v>
      </c>
      <c r="BC14" s="21">
        <v>7091</v>
      </c>
      <c r="BD14" s="21">
        <v>5938</v>
      </c>
      <c r="BE14" s="21">
        <v>5199</v>
      </c>
      <c r="BF14" s="21">
        <v>2658</v>
      </c>
    </row>
    <row r="15" spans="1:58" ht="15.75" customHeight="1" thickBot="1">
      <c r="A15" s="3" t="s">
        <v>13</v>
      </c>
      <c r="B15" s="20">
        <v>-0.13675543703416793</v>
      </c>
      <c r="C15" s="20">
        <v>4.2679135597908253</v>
      </c>
      <c r="D15" s="21">
        <v>5.0999999999999996</v>
      </c>
      <c r="E15" s="21">
        <v>5.3</v>
      </c>
      <c r="F15" s="21">
        <v>5.0999999999999996</v>
      </c>
      <c r="G15" s="21">
        <v>5.0999999999999996</v>
      </c>
      <c r="H15" s="21">
        <v>5</v>
      </c>
      <c r="I15" s="22">
        <v>1.31</v>
      </c>
      <c r="J15" s="22">
        <v>1.34</v>
      </c>
      <c r="K15" s="22">
        <v>1.1100000000000001</v>
      </c>
      <c r="L15" s="22">
        <v>1.2</v>
      </c>
      <c r="M15" s="32">
        <v>1</v>
      </c>
      <c r="N15" s="25">
        <v>3</v>
      </c>
      <c r="O15" s="25">
        <v>-10</v>
      </c>
      <c r="P15" s="25">
        <v>-14</v>
      </c>
      <c r="Q15" s="25">
        <v>3</v>
      </c>
      <c r="R15" s="25">
        <v>10</v>
      </c>
      <c r="S15" s="26">
        <v>-2278</v>
      </c>
      <c r="T15" s="26">
        <v>-3105</v>
      </c>
      <c r="U15" s="26">
        <v>-3718</v>
      </c>
      <c r="V15" s="26">
        <v>-3702</v>
      </c>
      <c r="W15" s="26">
        <v>-4722</v>
      </c>
      <c r="X15" s="27">
        <v>3.5638523546881631</v>
      </c>
      <c r="Y15" s="27">
        <v>3.7727910238429176</v>
      </c>
      <c r="Z15" s="27">
        <v>3.6388446668182852</v>
      </c>
      <c r="AA15" s="27">
        <v>4.2230303030303027</v>
      </c>
      <c r="AB15" s="28">
        <v>4.7095334022975992</v>
      </c>
      <c r="AC15" s="29"/>
      <c r="AD15" s="30">
        <v>3.6523312351588704</v>
      </c>
      <c r="AE15" s="30">
        <v>4.0613718411552346</v>
      </c>
      <c r="AF15" s="30">
        <v>3.723010943507838</v>
      </c>
      <c r="AG15" s="30">
        <v>4.3196279980420949</v>
      </c>
      <c r="AH15" s="30">
        <v>4.9204946996466425</v>
      </c>
      <c r="AI15" s="29"/>
      <c r="AJ15" s="29"/>
      <c r="AK15" s="31">
        <v>4.2</v>
      </c>
      <c r="AL15" s="31">
        <v>4.3</v>
      </c>
      <c r="AM15" s="31">
        <v>4.0999999999999996</v>
      </c>
      <c r="AN15" s="31">
        <v>4</v>
      </c>
      <c r="AO15" s="31">
        <v>3.5</v>
      </c>
      <c r="AP15" s="31">
        <v>3.4</v>
      </c>
      <c r="AQ15" s="29">
        <v>7.5</v>
      </c>
      <c r="AR15" s="19">
        <v>4.7</v>
      </c>
      <c r="AS15" s="19">
        <v>3.5</v>
      </c>
      <c r="AT15" s="19">
        <v>17.600000000000001</v>
      </c>
      <c r="AU15" s="19">
        <v>44.7</v>
      </c>
      <c r="AV15" s="19">
        <v>29.4</v>
      </c>
      <c r="AW15" s="19">
        <v>0</v>
      </c>
      <c r="AX15" s="18" t="s">
        <v>49</v>
      </c>
      <c r="AY15" s="18" t="s">
        <v>69</v>
      </c>
      <c r="AZ15" s="18" t="s">
        <v>69</v>
      </c>
      <c r="BA15" s="21">
        <v>3927</v>
      </c>
      <c r="BB15" s="21">
        <v>3613</v>
      </c>
      <c r="BC15" s="21">
        <v>3164</v>
      </c>
      <c r="BD15" s="21">
        <v>2871</v>
      </c>
      <c r="BE15" s="21">
        <v>3003</v>
      </c>
      <c r="BF15" s="21">
        <v>1379</v>
      </c>
    </row>
    <row r="16" spans="1:58" ht="15" customHeight="1" thickBot="1">
      <c r="A16" s="3" t="s">
        <v>14</v>
      </c>
      <c r="B16" s="20">
        <v>8.6836040262074761</v>
      </c>
      <c r="C16" s="20">
        <v>4.1261305211884673</v>
      </c>
      <c r="D16" s="21">
        <v>5.0999999999999996</v>
      </c>
      <c r="E16" s="21">
        <v>5.2</v>
      </c>
      <c r="F16" s="21">
        <v>5.3</v>
      </c>
      <c r="G16" s="21">
        <v>5.4</v>
      </c>
      <c r="H16" s="21">
        <v>5.3</v>
      </c>
      <c r="I16" s="22">
        <v>0.76</v>
      </c>
      <c r="J16" s="22">
        <v>1.01</v>
      </c>
      <c r="K16" s="22">
        <v>0.89</v>
      </c>
      <c r="L16" s="22">
        <v>0.86</v>
      </c>
      <c r="M16" s="32">
        <v>0.77</v>
      </c>
      <c r="N16" s="25">
        <v>1015</v>
      </c>
      <c r="O16" s="25">
        <v>1284</v>
      </c>
      <c r="P16" s="25">
        <v>1919</v>
      </c>
      <c r="Q16" s="25">
        <v>1775</v>
      </c>
      <c r="R16" s="25">
        <v>1833</v>
      </c>
      <c r="S16" s="26">
        <v>758</v>
      </c>
      <c r="T16" s="26">
        <v>374</v>
      </c>
      <c r="U16" s="26">
        <v>-358</v>
      </c>
      <c r="V16" s="26">
        <v>-656</v>
      </c>
      <c r="W16" s="26">
        <v>-751</v>
      </c>
      <c r="X16" s="27">
        <v>3.3705746476217415</v>
      </c>
      <c r="Y16" s="27">
        <v>3.3426834969611972</v>
      </c>
      <c r="Z16" s="27">
        <v>3.6206504434841942</v>
      </c>
      <c r="AA16" s="27">
        <v>3.8690909090909087</v>
      </c>
      <c r="AB16" s="28">
        <v>3.9037404039854082</v>
      </c>
      <c r="AC16" s="29"/>
      <c r="AD16" s="30">
        <v>3.2980287211186914</v>
      </c>
      <c r="AE16" s="30">
        <v>3.1663658243080621</v>
      </c>
      <c r="AF16" s="30">
        <v>3.4531203785862172</v>
      </c>
      <c r="AG16" s="30">
        <v>3.7567302985805191</v>
      </c>
      <c r="AH16" s="30">
        <v>3.7323321554770321</v>
      </c>
      <c r="AI16" s="29"/>
      <c r="AJ16" s="29"/>
      <c r="AK16" s="31">
        <v>3.1</v>
      </c>
      <c r="AL16" s="31">
        <v>3.6</v>
      </c>
      <c r="AM16" s="31">
        <v>3.7</v>
      </c>
      <c r="AN16" s="31">
        <v>3.4</v>
      </c>
      <c r="AO16" s="31">
        <v>4.0999999999999996</v>
      </c>
      <c r="AP16" s="31">
        <v>3.1</v>
      </c>
      <c r="AQ16" s="29">
        <v>11.6</v>
      </c>
      <c r="AR16" s="19">
        <v>0</v>
      </c>
      <c r="AS16" s="19">
        <v>3.7</v>
      </c>
      <c r="AT16" s="19">
        <v>35.799999999999997</v>
      </c>
      <c r="AU16" s="19">
        <v>51.9</v>
      </c>
      <c r="AV16" s="19">
        <v>7.4</v>
      </c>
      <c r="AW16" s="19">
        <v>1.2</v>
      </c>
      <c r="AX16" s="18" t="s">
        <v>50</v>
      </c>
      <c r="AY16" s="18">
        <v>640</v>
      </c>
      <c r="AZ16" s="18">
        <v>640</v>
      </c>
      <c r="BA16" s="21">
        <v>4072</v>
      </c>
      <c r="BB16" s="21">
        <v>3951</v>
      </c>
      <c r="BC16" s="21">
        <v>3716</v>
      </c>
      <c r="BD16" s="21">
        <v>3097</v>
      </c>
      <c r="BE16" s="21">
        <v>3474</v>
      </c>
      <c r="BF16" s="21">
        <v>1478</v>
      </c>
    </row>
    <row r="17" spans="1:58" ht="14.25" customHeight="1" thickBot="1">
      <c r="A17" s="3" t="s">
        <v>15</v>
      </c>
      <c r="B17" s="20">
        <v>-16.500650354081671</v>
      </c>
      <c r="C17" s="20">
        <v>2.5822287475424761</v>
      </c>
      <c r="D17" s="21">
        <v>2.7</v>
      </c>
      <c r="E17" s="21">
        <v>2.6</v>
      </c>
      <c r="F17" s="21">
        <v>2.6</v>
      </c>
      <c r="G17" s="21">
        <v>2.5</v>
      </c>
      <c r="H17" s="21">
        <v>2.5</v>
      </c>
      <c r="I17" s="22">
        <v>1.07</v>
      </c>
      <c r="J17" s="22">
        <v>1.21</v>
      </c>
      <c r="K17" s="22">
        <v>1.23</v>
      </c>
      <c r="L17" s="22">
        <v>1.1499999999999999</v>
      </c>
      <c r="M17" s="32">
        <v>1</v>
      </c>
      <c r="N17" s="25">
        <v>-409</v>
      </c>
      <c r="O17" s="25">
        <v>-324</v>
      </c>
      <c r="P17" s="25">
        <v>-194</v>
      </c>
      <c r="Q17" s="25">
        <v>-76</v>
      </c>
      <c r="R17" s="25">
        <v>-78</v>
      </c>
      <c r="S17" s="26">
        <v>-3359</v>
      </c>
      <c r="T17" s="26">
        <v>-3509</v>
      </c>
      <c r="U17" s="26">
        <v>-3655</v>
      </c>
      <c r="V17" s="26">
        <v>-2840</v>
      </c>
      <c r="W17" s="26">
        <v>-3395</v>
      </c>
      <c r="X17" s="27">
        <v>3.2244378447178619</v>
      </c>
      <c r="Y17" s="27">
        <v>3.3426834969611972</v>
      </c>
      <c r="Z17" s="27">
        <v>3.1657948601319084</v>
      </c>
      <c r="AA17" s="27">
        <v>3.6896969696969699</v>
      </c>
      <c r="AB17" s="28">
        <v>3.6532912288343224</v>
      </c>
      <c r="AC17" s="29"/>
      <c r="AD17" s="30">
        <v>3.2113376804492861</v>
      </c>
      <c r="AE17" s="30">
        <v>3.3506317689530682</v>
      </c>
      <c r="AF17" s="30">
        <v>3.1055900621118013</v>
      </c>
      <c r="AG17" s="30">
        <v>3.7975199869472993</v>
      </c>
      <c r="AH17" s="30">
        <v>3.8339222614840991</v>
      </c>
      <c r="AI17" s="29"/>
      <c r="AJ17" s="29"/>
      <c r="AK17" s="33" t="s">
        <v>30</v>
      </c>
      <c r="AL17" s="33" t="s">
        <v>30</v>
      </c>
      <c r="AM17" s="33" t="s">
        <v>30</v>
      </c>
      <c r="AN17" s="33">
        <v>2.9</v>
      </c>
      <c r="AO17" s="33">
        <v>2.7</v>
      </c>
      <c r="AP17" s="33">
        <v>2.6</v>
      </c>
      <c r="AQ17" s="29">
        <v>4.4000000000000004</v>
      </c>
      <c r="AR17" s="19">
        <v>0</v>
      </c>
      <c r="AS17" s="19">
        <v>5.7</v>
      </c>
      <c r="AT17" s="19">
        <v>24.5</v>
      </c>
      <c r="AU17" s="19">
        <v>45.3</v>
      </c>
      <c r="AV17" s="19">
        <v>5.7</v>
      </c>
      <c r="AW17" s="19">
        <v>18.899999999999999</v>
      </c>
      <c r="AX17" s="18" t="s">
        <v>51</v>
      </c>
      <c r="AY17" s="18" t="s">
        <v>70</v>
      </c>
      <c r="AZ17" s="18" t="s">
        <v>85</v>
      </c>
      <c r="BA17" s="21" t="s">
        <v>30</v>
      </c>
      <c r="BB17" s="21" t="s">
        <v>30</v>
      </c>
      <c r="BC17" s="21">
        <v>2474</v>
      </c>
      <c r="BD17" s="21">
        <v>5223</v>
      </c>
      <c r="BE17" s="21">
        <v>4545</v>
      </c>
      <c r="BF17" s="21">
        <v>2252</v>
      </c>
    </row>
    <row r="18" spans="1:58" ht="13.5" customHeight="1" thickBot="1">
      <c r="A18" s="3" t="s">
        <v>16</v>
      </c>
      <c r="B18" s="20">
        <v>0.71696418425707975</v>
      </c>
      <c r="C18" s="20">
        <v>3.1996072431054818</v>
      </c>
      <c r="D18" s="21">
        <v>3.7</v>
      </c>
      <c r="E18" s="21">
        <v>3.6</v>
      </c>
      <c r="F18" s="21">
        <v>3.4</v>
      </c>
      <c r="G18" s="21">
        <v>3.4</v>
      </c>
      <c r="H18" s="21">
        <v>3.3</v>
      </c>
      <c r="I18" s="22">
        <v>1.1299999999999999</v>
      </c>
      <c r="J18" s="22">
        <v>1.31</v>
      </c>
      <c r="K18" s="22">
        <v>1.3</v>
      </c>
      <c r="L18" s="22">
        <v>1.23</v>
      </c>
      <c r="M18" s="32">
        <v>0.63</v>
      </c>
      <c r="N18" s="25">
        <v>58</v>
      </c>
      <c r="O18" s="25">
        <v>-68</v>
      </c>
      <c r="P18" s="25">
        <v>-47</v>
      </c>
      <c r="Q18" s="25">
        <v>60</v>
      </c>
      <c r="R18" s="25">
        <v>100</v>
      </c>
      <c r="S18" s="26">
        <v>-3688</v>
      </c>
      <c r="T18" s="26">
        <v>-4041</v>
      </c>
      <c r="U18" s="26">
        <v>-5099</v>
      </c>
      <c r="V18" s="26">
        <v>-3875</v>
      </c>
      <c r="W18" s="26">
        <v>-4805</v>
      </c>
      <c r="X18" s="27">
        <v>3.7005609767595344</v>
      </c>
      <c r="Y18" s="27">
        <v>3.5530621785881253</v>
      </c>
      <c r="Z18" s="27">
        <v>3.3932226518080513</v>
      </c>
      <c r="AA18" s="27">
        <v>3.1418181818181816</v>
      </c>
      <c r="AB18" s="35">
        <v>2.7821636630914139</v>
      </c>
      <c r="AC18" s="29"/>
      <c r="AD18" s="36">
        <v>3.8181749651351251</v>
      </c>
      <c r="AE18" s="36">
        <v>3.6138688327316491</v>
      </c>
      <c r="AF18" s="36">
        <v>3.4568175096125406</v>
      </c>
      <c r="AG18" s="37">
        <v>3.2264643498123675</v>
      </c>
      <c r="AH18" s="37">
        <v>2.8401060070671376</v>
      </c>
      <c r="AI18" s="29"/>
      <c r="AJ18" s="29"/>
      <c r="AK18" s="33" t="s">
        <v>30</v>
      </c>
      <c r="AL18" s="33" t="s">
        <v>30</v>
      </c>
      <c r="AM18" s="33" t="s">
        <v>30</v>
      </c>
      <c r="AN18" s="33">
        <v>4.2</v>
      </c>
      <c r="AO18" s="33">
        <v>3.8</v>
      </c>
      <c r="AP18" s="33">
        <v>2.7</v>
      </c>
      <c r="AQ18" s="29">
        <v>7.8</v>
      </c>
      <c r="AR18" s="19">
        <v>10.8</v>
      </c>
      <c r="AS18" s="19">
        <v>3.1</v>
      </c>
      <c r="AT18" s="19">
        <v>40</v>
      </c>
      <c r="AU18" s="19">
        <v>29.2</v>
      </c>
      <c r="AV18" s="19">
        <v>0</v>
      </c>
      <c r="AW18" s="19">
        <v>16.899999999999999</v>
      </c>
      <c r="AX18" s="19" t="s">
        <v>52</v>
      </c>
      <c r="AY18" s="19">
        <v>720</v>
      </c>
      <c r="AZ18" s="19">
        <v>720</v>
      </c>
      <c r="BA18" s="21" t="s">
        <v>30</v>
      </c>
      <c r="BB18" s="21" t="s">
        <v>30</v>
      </c>
      <c r="BC18" s="21">
        <v>2306</v>
      </c>
      <c r="BD18" s="21">
        <v>3835</v>
      </c>
      <c r="BE18" s="21">
        <v>3346</v>
      </c>
      <c r="BF18" s="21">
        <v>1575</v>
      </c>
    </row>
    <row r="19" spans="1:58" ht="14.25" customHeight="1" thickBot="1">
      <c r="A19" s="3" t="s">
        <v>17</v>
      </c>
      <c r="B19" s="20">
        <v>-7.9508371710024619</v>
      </c>
      <c r="C19" s="20">
        <v>1.0376565642813664</v>
      </c>
      <c r="D19" s="21">
        <v>1.1000000000000001</v>
      </c>
      <c r="E19" s="21">
        <v>1.1000000000000001</v>
      </c>
      <c r="F19" s="21">
        <v>1.1000000000000001</v>
      </c>
      <c r="G19" s="21">
        <v>1.1000000000000001</v>
      </c>
      <c r="H19" s="21">
        <v>1.1000000000000001</v>
      </c>
      <c r="I19" s="22">
        <v>1.46</v>
      </c>
      <c r="J19" s="22">
        <v>1.45</v>
      </c>
      <c r="K19" s="22">
        <v>1.08</v>
      </c>
      <c r="L19" s="22">
        <v>1.02</v>
      </c>
      <c r="M19" s="32">
        <v>0.91</v>
      </c>
      <c r="N19" s="25">
        <v>-135</v>
      </c>
      <c r="O19" s="25">
        <v>-92</v>
      </c>
      <c r="P19" s="25">
        <v>-34</v>
      </c>
      <c r="Q19" s="25">
        <v>-29</v>
      </c>
      <c r="R19" s="25">
        <v>31</v>
      </c>
      <c r="S19" s="26">
        <v>-762</v>
      </c>
      <c r="T19" s="26">
        <v>-1330</v>
      </c>
      <c r="U19" s="26">
        <v>-927</v>
      </c>
      <c r="V19" s="26">
        <v>-839</v>
      </c>
      <c r="W19" s="26">
        <v>-1028</v>
      </c>
      <c r="X19" s="27">
        <v>1.6263611936076936</v>
      </c>
      <c r="Y19" s="27">
        <v>1.4446002805049087</v>
      </c>
      <c r="Z19" s="27">
        <v>1.2053672958835571</v>
      </c>
      <c r="AA19" s="27">
        <v>1.3187878787878788</v>
      </c>
      <c r="AB19" s="35">
        <v>1.4264713889040126</v>
      </c>
      <c r="AC19" s="29"/>
      <c r="AD19" s="36">
        <v>1.6848215295314914</v>
      </c>
      <c r="AE19" s="36">
        <v>1.4628459687123947</v>
      </c>
      <c r="AF19" s="36">
        <v>1.2200532386867791</v>
      </c>
      <c r="AG19" s="37">
        <v>1.2930331212269539</v>
      </c>
      <c r="AH19" s="37">
        <v>1.4973498233215548</v>
      </c>
      <c r="AI19" s="29"/>
      <c r="AJ19" s="29"/>
      <c r="AK19" s="33" t="s">
        <v>30</v>
      </c>
      <c r="AL19" s="33" t="s">
        <v>30</v>
      </c>
      <c r="AM19" s="33" t="s">
        <v>30</v>
      </c>
      <c r="AN19" s="33">
        <v>4.3</v>
      </c>
      <c r="AO19" s="33">
        <v>3.7</v>
      </c>
      <c r="AP19" s="31">
        <v>3.4</v>
      </c>
      <c r="AQ19" s="29">
        <v>10.5</v>
      </c>
      <c r="AR19" s="19">
        <v>0</v>
      </c>
      <c r="AS19" s="19">
        <v>33.299999999999997</v>
      </c>
      <c r="AT19" s="19">
        <v>19</v>
      </c>
      <c r="AU19" s="19">
        <v>9.5</v>
      </c>
      <c r="AV19" s="19">
        <v>14.3</v>
      </c>
      <c r="AW19" s="19">
        <v>23.8</v>
      </c>
      <c r="AX19" s="18">
        <v>135</v>
      </c>
      <c r="AY19" s="18">
        <v>60</v>
      </c>
      <c r="AZ19" s="18">
        <v>60</v>
      </c>
      <c r="BA19" s="21" t="s">
        <v>30</v>
      </c>
      <c r="BB19" s="21" t="s">
        <v>30</v>
      </c>
      <c r="BC19" s="21">
        <v>786</v>
      </c>
      <c r="BD19" s="21">
        <v>1278</v>
      </c>
      <c r="BE19" s="21">
        <v>1314</v>
      </c>
      <c r="BF19" s="21">
        <v>714</v>
      </c>
    </row>
    <row r="20" spans="1:58" ht="15.75" customHeight="1" thickBot="1">
      <c r="A20" s="3" t="s">
        <v>18</v>
      </c>
      <c r="B20" s="20">
        <v>-7.8282631937020142</v>
      </c>
      <c r="C20" s="20">
        <v>3.2604426181798929</v>
      </c>
      <c r="D20" s="21">
        <v>2.7</v>
      </c>
      <c r="E20" s="21">
        <v>2.5</v>
      </c>
      <c r="F20" s="21">
        <v>2.5</v>
      </c>
      <c r="G20" s="21">
        <v>2.4</v>
      </c>
      <c r="H20" s="21">
        <v>2.4</v>
      </c>
      <c r="I20" s="22">
        <v>1.46</v>
      </c>
      <c r="J20" s="22">
        <v>1.27</v>
      </c>
      <c r="K20" s="22">
        <v>1.23</v>
      </c>
      <c r="L20" s="22">
        <v>0.99</v>
      </c>
      <c r="M20" s="32">
        <v>1.0900000000000001</v>
      </c>
      <c r="N20" s="25">
        <v>-956</v>
      </c>
      <c r="O20" s="25">
        <v>-941</v>
      </c>
      <c r="P20" s="25">
        <v>-486</v>
      </c>
      <c r="Q20" s="25">
        <v>45</v>
      </c>
      <c r="R20" s="25">
        <v>357</v>
      </c>
      <c r="S20" s="26">
        <v>-592</v>
      </c>
      <c r="T20" s="26">
        <v>-1155</v>
      </c>
      <c r="U20" s="26">
        <v>-1486</v>
      </c>
      <c r="V20" s="26">
        <v>-1478</v>
      </c>
      <c r="W20" s="26">
        <v>-2098</v>
      </c>
      <c r="X20" s="27">
        <v>5.5767689624286989</v>
      </c>
      <c r="Y20" s="27">
        <v>5.4043945769050961</v>
      </c>
      <c r="Z20" s="27">
        <v>4.7486922901978623</v>
      </c>
      <c r="AA20" s="27">
        <v>5.1345454545454547</v>
      </c>
      <c r="AB20" s="28">
        <v>5.7222191974737306</v>
      </c>
      <c r="AC20" s="29"/>
      <c r="AD20" s="30">
        <v>5.3333835890090837</v>
      </c>
      <c r="AE20" s="30">
        <v>5.1256016847172088</v>
      </c>
      <c r="AF20" s="30">
        <v>4.62511091393079</v>
      </c>
      <c r="AG20" s="30">
        <v>5.0048947626040139</v>
      </c>
      <c r="AH20" s="30">
        <v>5.5830388692579502</v>
      </c>
      <c r="AI20" s="29"/>
      <c r="AJ20" s="29"/>
      <c r="AK20" s="31">
        <v>3</v>
      </c>
      <c r="AL20" s="31">
        <v>3</v>
      </c>
      <c r="AM20" s="31">
        <v>2.8</v>
      </c>
      <c r="AN20" s="31">
        <v>2.7</v>
      </c>
      <c r="AO20" s="31">
        <v>2.6</v>
      </c>
      <c r="AP20" s="31">
        <v>2.7</v>
      </c>
      <c r="AQ20" s="29">
        <v>5.3</v>
      </c>
      <c r="AR20" s="19">
        <v>2.9</v>
      </c>
      <c r="AS20" s="19">
        <v>11.8</v>
      </c>
      <c r="AT20" s="19">
        <v>29.4</v>
      </c>
      <c r="AU20" s="19">
        <v>42.6</v>
      </c>
      <c r="AV20" s="19">
        <v>11.8</v>
      </c>
      <c r="AW20" s="19">
        <v>1.5</v>
      </c>
      <c r="AX20" s="18" t="s">
        <v>53</v>
      </c>
      <c r="AY20" s="18" t="s">
        <v>71</v>
      </c>
      <c r="AZ20" s="18" t="s">
        <v>86</v>
      </c>
      <c r="BA20" s="21">
        <v>6002</v>
      </c>
      <c r="BB20" s="21">
        <v>5702</v>
      </c>
      <c r="BC20" s="21">
        <v>5022</v>
      </c>
      <c r="BD20" s="21">
        <v>5039</v>
      </c>
      <c r="BE20" s="21">
        <v>5322</v>
      </c>
      <c r="BF20" s="21">
        <v>2691</v>
      </c>
    </row>
    <row r="21" spans="1:58" ht="20.25" customHeight="1" thickBot="1">
      <c r="A21" s="3" t="s">
        <v>19</v>
      </c>
      <c r="B21" s="20">
        <v>-10.887107994546014</v>
      </c>
      <c r="C21" s="20">
        <v>2.2020033558298735</v>
      </c>
      <c r="D21" s="21">
        <v>1.6</v>
      </c>
      <c r="E21" s="21">
        <v>1.4</v>
      </c>
      <c r="F21" s="21">
        <v>1.4</v>
      </c>
      <c r="G21" s="21">
        <v>1.4</v>
      </c>
      <c r="H21" s="21">
        <v>1.3</v>
      </c>
      <c r="I21" s="22">
        <v>1.49</v>
      </c>
      <c r="J21" s="22">
        <v>1.53</v>
      </c>
      <c r="K21" s="22">
        <v>1.37</v>
      </c>
      <c r="L21" s="22">
        <v>1.27</v>
      </c>
      <c r="M21" s="32">
        <v>1.0900000000000001</v>
      </c>
      <c r="N21" s="25">
        <v>-689</v>
      </c>
      <c r="O21" s="25">
        <v>-693</v>
      </c>
      <c r="P21" s="25">
        <v>-398</v>
      </c>
      <c r="Q21" s="25">
        <v>28</v>
      </c>
      <c r="R21" s="25">
        <v>-456</v>
      </c>
      <c r="S21" s="26">
        <v>-1216</v>
      </c>
      <c r="T21" s="26">
        <v>-1491</v>
      </c>
      <c r="U21" s="26">
        <v>-1702</v>
      </c>
      <c r="V21" s="26">
        <v>-1691</v>
      </c>
      <c r="W21" s="26">
        <v>-2094</v>
      </c>
      <c r="X21" s="27">
        <v>3.7382737000895681</v>
      </c>
      <c r="Y21" s="27">
        <v>3.5156615240766715</v>
      </c>
      <c r="Z21" s="27">
        <v>3.5023879918125993</v>
      </c>
      <c r="AA21" s="27">
        <v>3.4909090909090912</v>
      </c>
      <c r="AB21" s="28">
        <v>3.4572875265421681</v>
      </c>
      <c r="AC21" s="29"/>
      <c r="AD21" s="30">
        <v>3.6334853567524785</v>
      </c>
      <c r="AE21" s="30">
        <v>3.3694344163658241</v>
      </c>
      <c r="AF21" s="30">
        <v>3.460514640638864</v>
      </c>
      <c r="AG21" s="30">
        <v>3.4304127916462717</v>
      </c>
      <c r="AH21" s="30">
        <v>3.3348056537102475</v>
      </c>
      <c r="AI21" s="29"/>
      <c r="AJ21" s="29"/>
      <c r="AK21" s="31">
        <v>3</v>
      </c>
      <c r="AL21" s="31">
        <v>3.9</v>
      </c>
      <c r="AM21" s="31">
        <v>2.9</v>
      </c>
      <c r="AN21" s="31">
        <v>3.6</v>
      </c>
      <c r="AO21" s="31">
        <v>4.8</v>
      </c>
      <c r="AP21" s="31">
        <v>3.7</v>
      </c>
      <c r="AQ21" s="29">
        <v>7.4</v>
      </c>
      <c r="AR21" s="19">
        <v>0</v>
      </c>
      <c r="AS21" s="19">
        <v>44.7</v>
      </c>
      <c r="AT21" s="19">
        <v>25.5</v>
      </c>
      <c r="AU21" s="19">
        <v>14.9</v>
      </c>
      <c r="AV21" s="19">
        <v>14.9</v>
      </c>
      <c r="AW21" s="19">
        <v>0</v>
      </c>
      <c r="AX21" s="18" t="s">
        <v>54</v>
      </c>
      <c r="AY21" s="18" t="s">
        <v>72</v>
      </c>
      <c r="AZ21" s="18" t="s">
        <v>87</v>
      </c>
      <c r="BA21" s="21">
        <v>4973</v>
      </c>
      <c r="BB21" s="21">
        <v>4716</v>
      </c>
      <c r="BC21" s="21">
        <v>4583</v>
      </c>
      <c r="BD21" s="21">
        <v>3762</v>
      </c>
      <c r="BE21" s="21">
        <v>3343</v>
      </c>
      <c r="BF21" s="21">
        <v>1712</v>
      </c>
    </row>
    <row r="22" spans="1:58" ht="17.25" customHeight="1" thickBot="1">
      <c r="A22" s="3" t="s">
        <v>20</v>
      </c>
      <c r="B22" s="20">
        <v>6.0057371911760242</v>
      </c>
      <c r="C22" s="20">
        <v>11.542253253592408</v>
      </c>
      <c r="D22" s="21">
        <v>15</v>
      </c>
      <c r="E22" s="21">
        <v>15.2</v>
      </c>
      <c r="F22" s="21">
        <v>15.2</v>
      </c>
      <c r="G22" s="21">
        <v>15.3</v>
      </c>
      <c r="H22" s="21">
        <v>15.7</v>
      </c>
      <c r="I22" s="22">
        <v>0.98</v>
      </c>
      <c r="J22" s="22">
        <v>0.99</v>
      </c>
      <c r="K22" s="22">
        <v>0.82</v>
      </c>
      <c r="L22" s="22">
        <v>0.91</v>
      </c>
      <c r="M22" s="32">
        <v>0.8</v>
      </c>
      <c r="N22" s="25">
        <v>444</v>
      </c>
      <c r="O22" s="25">
        <v>147</v>
      </c>
      <c r="P22" s="25">
        <v>238</v>
      </c>
      <c r="Q22" s="25">
        <v>218</v>
      </c>
      <c r="R22" s="25">
        <v>246</v>
      </c>
      <c r="S22" s="26">
        <v>-10052</v>
      </c>
      <c r="T22" s="26">
        <v>-14552</v>
      </c>
      <c r="U22" s="26">
        <v>-12731</v>
      </c>
      <c r="V22" s="26">
        <v>-12593</v>
      </c>
      <c r="W22" s="26">
        <v>-16167</v>
      </c>
      <c r="X22" s="27">
        <v>5.9727525573940508</v>
      </c>
      <c r="Y22" s="27">
        <v>5.5726975222066386</v>
      </c>
      <c r="Z22" s="27">
        <v>5.2581305435524222</v>
      </c>
      <c r="AA22" s="27">
        <v>5.376969696969697</v>
      </c>
      <c r="AB22" s="27">
        <v>5.4881036641803238</v>
      </c>
      <c r="AC22" s="29"/>
      <c r="AD22" s="34">
        <v>6.4490595906675203</v>
      </c>
      <c r="AE22" s="34">
        <v>5.960439229843562</v>
      </c>
      <c r="AF22" s="34">
        <v>5.5715764566696251</v>
      </c>
      <c r="AG22" s="34">
        <v>5.6248980257790828</v>
      </c>
      <c r="AH22" s="34">
        <v>5.9054770318021195</v>
      </c>
      <c r="AI22" s="29"/>
      <c r="AJ22" s="29"/>
      <c r="AK22" s="31">
        <v>3.2</v>
      </c>
      <c r="AL22" s="31">
        <v>3.4</v>
      </c>
      <c r="AM22" s="31">
        <v>3.6</v>
      </c>
      <c r="AN22" s="31">
        <v>3.9</v>
      </c>
      <c r="AO22" s="31">
        <v>2.8</v>
      </c>
      <c r="AP22" s="31">
        <v>2</v>
      </c>
      <c r="AQ22" s="29">
        <v>6.4</v>
      </c>
      <c r="AR22" s="19">
        <v>4.4000000000000004</v>
      </c>
      <c r="AS22" s="19">
        <v>21.9</v>
      </c>
      <c r="AT22" s="19">
        <v>26.3</v>
      </c>
      <c r="AU22" s="19">
        <v>28.5</v>
      </c>
      <c r="AV22" s="19">
        <v>17.5</v>
      </c>
      <c r="AW22" s="19">
        <v>1.3</v>
      </c>
      <c r="AX22" s="18" t="s">
        <v>55</v>
      </c>
      <c r="AY22" s="18" t="s">
        <v>73</v>
      </c>
      <c r="AZ22" s="18" t="s">
        <v>73</v>
      </c>
      <c r="BA22" s="21">
        <v>6000</v>
      </c>
      <c r="BB22" s="21">
        <v>5842</v>
      </c>
      <c r="BC22" s="21">
        <v>5929</v>
      </c>
      <c r="BD22" s="21">
        <v>5453</v>
      </c>
      <c r="BE22" s="21">
        <v>5262</v>
      </c>
      <c r="BF22" s="21">
        <v>2578</v>
      </c>
    </row>
    <row r="23" spans="1:58">
      <c r="A23" s="6" t="s">
        <v>23</v>
      </c>
      <c r="B23" s="20">
        <f>AVERAGE(B3:B22)</f>
        <v>6.8869615044130944E-2</v>
      </c>
      <c r="C23" s="20">
        <f>AVERAGE(C3:C22)</f>
        <v>5</v>
      </c>
      <c r="D23" s="25">
        <f>AVERAGE(D3:D22)</f>
        <v>5</v>
      </c>
      <c r="E23" s="25">
        <f>AVERAGE(E3:E22)</f>
        <v>4.9949999999999992</v>
      </c>
      <c r="F23" s="25">
        <f>AVERAGE(F3:F22)</f>
        <v>4.99</v>
      </c>
      <c r="G23" s="25">
        <f>AVERAGE(G3:G22)</f>
        <v>4.995000000000001</v>
      </c>
      <c r="H23" s="25">
        <f>AVERAGE(H3:H22)</f>
        <v>4.8210526315789473</v>
      </c>
      <c r="I23" s="21">
        <v>1.03</v>
      </c>
      <c r="J23" s="21">
        <v>1.0900000000000001</v>
      </c>
      <c r="K23" s="21">
        <v>0.94</v>
      </c>
      <c r="L23" s="21">
        <v>0.91</v>
      </c>
      <c r="M23" s="38">
        <v>0.84</v>
      </c>
      <c r="N23" s="29">
        <f>AVERAGE(N3:N22)</f>
        <v>-259.60000000000002</v>
      </c>
      <c r="O23" s="29">
        <f>AVERAGE(O3:O22)</f>
        <v>-270.60000000000002</v>
      </c>
      <c r="P23" s="29">
        <f>AVERAGE(P3:P22)</f>
        <v>56.7</v>
      </c>
      <c r="Q23" s="29">
        <f>AVERAGE(Q3:Q22)</f>
        <v>364.7</v>
      </c>
      <c r="R23" s="29">
        <f>AVERAGE(R3:R22)</f>
        <v>531.70000000000005</v>
      </c>
      <c r="S23" s="29">
        <f>AVERAGE(S3:S22)</f>
        <v>0</v>
      </c>
      <c r="T23" s="29">
        <f>AVERAGE(T3:T22)</f>
        <v>0</v>
      </c>
      <c r="U23" s="29">
        <f>AVERAGE(U3:U22)</f>
        <v>0</v>
      </c>
      <c r="V23" s="29">
        <f>AVERAGE(V3:V22)</f>
        <v>0</v>
      </c>
      <c r="W23" s="29">
        <f>AVERAGE(W3:W22)</f>
        <v>-219.94736842105263</v>
      </c>
      <c r="X23" s="51">
        <f>AVERAGE(X3:X22)</f>
        <v>5</v>
      </c>
      <c r="Y23" s="51">
        <f>AVERAGE(Y3:Y22)</f>
        <v>5.0000000000000009</v>
      </c>
      <c r="Z23" s="51">
        <f>AVERAGE(Z3:Z22)</f>
        <v>5.0000000000000009</v>
      </c>
      <c r="AA23" s="51">
        <f>AVERAGE(AA3:AA22)</f>
        <v>4.9999999999999991</v>
      </c>
      <c r="AB23" s="51">
        <f>AVERAGE(AB3:AB22)</f>
        <v>5.0000000000000009</v>
      </c>
      <c r="AC23" s="29"/>
      <c r="AD23" s="51">
        <f>AVERAGE(AD3:AD22)</f>
        <v>5.0000000000000009</v>
      </c>
      <c r="AE23" s="51">
        <f>AVERAGE(AE3:AE22)</f>
        <v>5</v>
      </c>
      <c r="AF23" s="51">
        <f>AVERAGE(AF3:AF22)</f>
        <v>5</v>
      </c>
      <c r="AG23" s="51">
        <f>AVERAGE(AG3:AG22)</f>
        <v>5.0000000000000009</v>
      </c>
      <c r="AH23" s="51">
        <f>AVERAGE(AH3:AH22)</f>
        <v>5</v>
      </c>
      <c r="AI23" s="29"/>
      <c r="AJ23" s="29"/>
      <c r="AK23" s="39">
        <v>3.7</v>
      </c>
      <c r="AL23" s="39">
        <v>3.8</v>
      </c>
      <c r="AM23" s="39">
        <v>3.8</v>
      </c>
      <c r="AN23" s="39">
        <v>3.8</v>
      </c>
      <c r="AO23" s="39">
        <v>3.5</v>
      </c>
      <c r="AP23" s="39">
        <v>3.1</v>
      </c>
      <c r="AQ23" s="29">
        <f>AVERAGE(AQ3:AQ22)</f>
        <v>6.660000000000001</v>
      </c>
      <c r="AR23" s="29">
        <f>AVERAGE(AR3:AR22)</f>
        <v>4.2149999999999999</v>
      </c>
      <c r="AS23" s="29">
        <f>AVERAGE(AS3:AS22)</f>
        <v>12.784999999999998</v>
      </c>
      <c r="AT23" s="29">
        <f>AVERAGE(AT3:AT22)</f>
        <v>28.110000000000003</v>
      </c>
      <c r="AU23" s="29">
        <f>AVERAGE(AU3:AU22)</f>
        <v>32.614999999999995</v>
      </c>
      <c r="AV23" s="29">
        <f>AVERAGE(AV3:AV22)</f>
        <v>15.929999999999998</v>
      </c>
      <c r="AW23" s="29">
        <f>AVERAGE(AW3:AW22)</f>
        <v>6.2050000000000001</v>
      </c>
      <c r="AX23" s="18" t="s">
        <v>57</v>
      </c>
      <c r="AY23" s="18" t="s">
        <v>74</v>
      </c>
      <c r="AZ23" s="18" t="s">
        <v>88</v>
      </c>
      <c r="BA23" s="21">
        <v>162783</v>
      </c>
      <c r="BB23" s="21">
        <v>157884</v>
      </c>
      <c r="BC23" s="21">
        <v>157473</v>
      </c>
      <c r="BD23" s="21">
        <v>140272</v>
      </c>
      <c r="BE23" s="21">
        <v>132778</v>
      </c>
      <c r="BF23" s="21">
        <v>64529</v>
      </c>
    </row>
  </sheetData>
  <mergeCells count="9">
    <mergeCell ref="AR1:AW1"/>
    <mergeCell ref="BA1:BF1"/>
    <mergeCell ref="AD1:AH1"/>
    <mergeCell ref="AK1:AP1"/>
    <mergeCell ref="D1:H1"/>
    <mergeCell ref="I1:M1"/>
    <mergeCell ref="N1:R1"/>
    <mergeCell ref="S1:W1"/>
    <mergeCell ref="X1:A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2026-06-03T06:54:23Z</dcterms:modified>
</cp:coreProperties>
</file>